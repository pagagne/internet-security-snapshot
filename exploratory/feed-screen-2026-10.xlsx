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one" sheetId="1" state="visible" r:id="rId3"/>
    <sheet name="Feed sweep" sheetId="2" state="visible" r:id="rId4"/>
    <sheet name="Links" sheetId="3" state="visible" r:id="rId5"/>
    <sheet name="Counts" sheetId="4" state="visible" r:id="rId6"/>
  </sheets>
  <definedNames>
    <definedName function="false" hidden="true" localSheetId="1" name="_xlnm._FilterDatabase" vbProcedure="false">'Feed sweep'!$A$1:$L$66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ABSTRACT
Russian news digest led by a theft of almost $6 billion from the Binance exchange in an hour.
KEY FINDINGS
No sign the attacker used AI; excluded from the AI-attack log.
DECISION: excluded</t>
        </r>
      </text>
    </comment>
    <comment ref="D3" authorId="0">
      <text>
        <r>
          <rPr>
            <sz val="10"/>
            <rFont val="Arial"/>
            <family val="2"/>
          </rPr>
          <t xml:space="preserve">ABSTRACT
Phishing emails themed on Anthropic got past leading email security tools.
KEY FINDINGS
AI brands are the bait; no AI is used to carry out the attack; excluded.
DECISION: excluded</t>
        </r>
      </text>
    </comment>
    <comment ref="D4" authorId="0">
      <text>
        <r>
          <rPr>
            <sz val="10"/>
            <rFont val="Arial"/>
            <family val="2"/>
          </rPr>
          <t xml:space="preserve">ABSTRACT
A critical Linux kernel TCP flaw (CVSS 9.8) affects Ubuntu, Red Hat and other distributions.
KEY FINDINGS
No sign the attacker used AI; excluded from the AI-attack log.
DECISION: excluded</t>
        </r>
      </text>
    </comment>
    <comment ref="D5" authorId="0">
      <text>
        <r>
          <rPr>
            <sz val="10"/>
            <rFont val="Arial"/>
            <family val="2"/>
          </rPr>
          <t xml:space="preserve">ABSTRACT
Fake ChatGPT and Claude desktop apps abuse signed executables to install crypto miners.
KEY FINDINGS
AI brands are the bait; no AI is used to carry out the attack; excluded.
DECISION: excluded</t>
        </r>
      </text>
    </comment>
    <comment ref="D6" authorId="0">
      <text>
        <r>
          <rPr>
            <sz val="10"/>
            <rFont val="Arial"/>
            <family val="2"/>
          </rPr>
          <t xml:space="preserve">ABSTRACT
Infosecurity Magazine says the NIK C2 malware can use a victim's own OpenAI API keys to send AI queries.
KEY FINDINGS
Would be malware using AI on the victim's account.
Original researchers' report not yet found; held for the author's judgement.
DECISION: your judgement</t>
        </r>
      </text>
    </comment>
    <comment ref="D7" authorId="0">
      <text>
        <r>
          <rPr>
            <sz val="10"/>
            <rFont val="Arial"/>
            <family val="2"/>
          </rPr>
          <t xml:space="preserve">ABSTRACT
Yoba malware is hidden in fake desktop versions of ChatGPT and Claude.
KEY FINDINGS
AI brands are the bait; no AI is used to carry out the attack; excluded.
DECISION: excluded</t>
        </r>
      </text>
    </comment>
    <comment ref="D8" authorId="0">
      <text>
        <r>
          <rPr>
            <sz val="10"/>
            <rFont val="Arial"/>
            <family val="2"/>
          </rPr>
          <t xml:space="preserve">ABSTRACT
Researchers broke the web browsers built into VS Code, Cursor, Copilot, Codex and Claude Desktop.
KEY FINDINGS
Flaws in AI products (research for X5), not an attack using AI; excluded.
DECISION: excluded</t>
        </r>
      </text>
    </comment>
    <comment ref="D9" authorId="0">
      <text>
        <r>
          <rPr>
            <sz val="10"/>
            <rFont val="Arial"/>
            <family val="2"/>
          </rPr>
          <t xml:space="preserve">ABSTRACT
(Russian) MITRE ATT&amp;CK taught as a detective story: a new format for security training.
KEY FINDINGS
No specific attack described; excluded.
DECISION: excluded</t>
        </r>
      </text>
    </comment>
    <comment ref="D10" authorId="0">
      <text>
        <r>
          <rPr>
            <sz val="10"/>
            <rFont val="Arial"/>
            <family val="2"/>
          </rPr>
          <t xml:space="preserve">ABSTRACT
(Russian) Electrum wallet fixed a bug that allowed cryptocurrency theft.
KEY FINDINGS
No sign the attacker used AI; excluded from the AI-attack log.
DECISION: excluded</t>
        </r>
      </text>
    </comment>
    <comment ref="D11" authorId="0">
      <text>
        <r>
          <rPr>
            <sz val="10"/>
            <rFont val="Arial"/>
            <family val="2"/>
          </rPr>
          <t xml:space="preserve">ABSTRACT
(Russian) 'Silent Train' got through national defences by turning foreign attacks into domestic traffic.
KEY FINDINGS
No sign the attacker used AI; excluded from the AI-attack log.
DECISION: excluded</t>
        </r>
      </text>
    </comment>
    <comment ref="D12" authorId="0">
      <text>
        <r>
          <rPr>
            <sz val="10"/>
            <rFont val="Arial"/>
            <family val="2"/>
          </rPr>
          <t xml:space="preserve">ABSTRACT
CrowdStrike reports that the China-nexus group VAPOR PANDA ran ARTEX AI agents (planner and worker agents) in a global espionage campaign from 17 Oct.
KEY FINDINGS
200+ organisations targeted in at least 14 countries; post-exploitation confirmed at 9.
Targets: foreign ministries, government, semiconductors, defence, nuclear, finance, telecoms.
Open-weight models named; single source so far. New log row.
DECISION: logged</t>
        </r>
      </text>
    </comment>
    <comment ref="D13" authorId="0">
      <text>
        <r>
          <rPr>
            <sz val="10"/>
            <rFont val="Arial"/>
            <family val="2"/>
          </rPr>
          <t xml:space="preserve">ABSTRACT
A Russian disinformation group targeted a US politician with an AI-generated video.
KEY FINDINGS
No intrusion into systems; outside the study's scope; excluded.
DECISION: excluded</t>
        </r>
      </text>
    </comment>
    <comment ref="D14" authorId="0">
      <text>
        <r>
          <rPr>
            <sz val="10"/>
            <rFont val="Arial"/>
            <family val="2"/>
          </rPr>
          <t xml:space="preserve">ABSTRACT
(German) New model 'Gemini 4 Carbon' described as an exploit-writing expert.
KEY FINDINGS
Capability news about a new model; context for T7, not an attack; excluded.
DECISION: excluded</t>
        </r>
      </text>
    </comment>
    <comment ref="D15" authorId="0">
      <text>
        <r>
          <rPr>
            <sz val="10"/>
            <rFont val="Arial"/>
            <family val="2"/>
          </rPr>
          <t xml:space="preserve">ABSTRACT
(Russian) Keystone will destroy almost 19,000 hardware wallets after a cryptographic key was stolen.
KEY FINDINGS
No sign the attacker used AI; excluded from the AI-attack log.
DECISION: excluded</t>
        </r>
      </text>
    </comment>
    <comment ref="D16" authorId="0">
      <text>
        <r>
          <rPr>
            <sz val="10"/>
            <rFont val="Arial"/>
            <family val="2"/>
          </rPr>
          <t xml:space="preserve">ABSTRACT
Attackers hide malware behind signed ChatGPT and Claude binaries.
KEY FINDINGS
AI brands are the bait; no AI is used to carry out the attack; excluded.
DECISION: excluded</t>
        </r>
      </text>
    </comment>
    <comment ref="D17" authorId="0">
      <text>
        <r>
          <rPr>
            <sz val="10"/>
            <rFont val="Arial"/>
            <family val="2"/>
          </rPr>
          <t xml:space="preserve">ABSTRACT
A scanner hunts for credentials while pretending to be AI crawler bots.
KEY FINDINGS
The AI-bot name is only a disguise; no AI used; excluded.
DECISION: excluded</t>
        </r>
      </text>
    </comment>
    <comment ref="D18" authorId="0">
      <text>
        <r>
          <rPr>
            <sz val="10"/>
            <rFont val="Arial"/>
            <family val="2"/>
          </rPr>
          <t xml:space="preserve">ABSTRACT
(Russian) A contractor breach put logs of Warp's AI agents at risk, affecting about 1% of users.
KEY FINDINGS
Attack on an AI vendor's supplier, not AI used by an attacker; excluded.
DECISION: excluded</t>
        </r>
      </text>
    </comment>
    <comment ref="D19" authorId="0">
      <text>
        <r>
          <rPr>
            <sz val="10"/>
            <rFont val="Arial"/>
            <family val="2"/>
          </rPr>
          <t xml:space="preserve">ABSTRACT
UK web host 123 Reg told customers that an 18 Sep intrusion into customer data was an 'AI cyberattack' and suspects a China link.
KEY FINDINGS
Company links it to the ARTEX actor behind the South Korea case.
Only the company's own statement and The Register; no independent confirmation.
Held for the author's judgement.
DECISION: your judgement</t>
        </r>
      </text>
    </comment>
    <comment ref="D20" authorId="0">
      <text>
        <r>
          <rPr>
            <sz val="10"/>
            <rFont val="Arial"/>
            <family val="2"/>
          </rPr>
          <t xml:space="preserve">ABSTRACT
An unreleased Anthropic model chained flaws into working exploits for Chrome, Safari, Windows and Linux.
KEY FINDINGS
Capability news (model testing), not an attack; context for T7; excluded.
DECISION: excluded</t>
        </r>
      </text>
    </comment>
    <comment ref="D21" authorId="0">
      <text>
        <r>
          <rPr>
            <sz val="10"/>
            <rFont val="Arial"/>
            <family val="2"/>
          </rPr>
          <t xml:space="preserve">ABSTRACT
(Russian) AI in vulnerability management: helper, weapon and new target at once.
KEY FINDINGS
No specific attack described; excluded.
DECISION: excluded</t>
        </r>
      </text>
    </comment>
    <comment ref="D22" authorId="0">
      <text>
        <r>
          <rPr>
            <sz val="10"/>
            <rFont val="Arial"/>
            <family val="2"/>
          </rPr>
          <t xml:space="preserve">ABSTRACT
(Russian) Timeline and analysis of the attack on VMmanager 6 and the flaws used.
KEY FINDINGS
No sign the attacker used AI; excluded from the AI-attack log.
DECISION: excluded</t>
        </r>
      </text>
    </comment>
    <comment ref="D23" authorId="0">
      <text>
        <r>
          <rPr>
            <sz val="10"/>
            <rFont val="Arial"/>
            <family val="2"/>
          </rPr>
          <t xml:space="preserve">ABSTRACT
Check Point: old tricks delivered through signed ChatGPT and Claude binaries.
KEY FINDINGS
AI brands are the bait; no AI is used to carry out the attack; excluded.
DECISION: excluded</t>
        </r>
      </text>
    </comment>
    <comment ref="D24" authorId="0">
      <text>
        <r>
          <rPr>
            <sz val="10"/>
            <rFont val="Arial"/>
            <family val="2"/>
          </rPr>
          <t xml:space="preserve">ABSTRACT
Trend piece (Keeper Security, citing the Verizon DBIR) saying AI-made fake login pages make account takeover easier.
KEY FINDINGS
General trend; no specific campaign or victim; excluded.
DECISION: excluded</t>
        </r>
      </text>
    </comment>
    <comment ref="D25" authorId="0">
      <text>
        <r>
          <rPr>
            <sz val="10"/>
            <rFont val="Arial"/>
            <family val="2"/>
          </rPr>
          <t xml:space="preserve">ABSTRACT
(Russian) Which products (1C, Joomla, Zimbra, CommuniGate Pro, TrueConf) were most often the way in for attackers in Russia.
KEY FINDINGS
No sign the attacker used AI; excluded from the AI-attack log.
DECISION: excluded</t>
        </r>
      </text>
    </comment>
    <comment ref="D26" authorId="0">
      <text>
        <r>
          <rPr>
            <sz val="10"/>
            <rFont val="Arial"/>
            <family val="2"/>
          </rPr>
          <t xml:space="preserve">ABSTRACT
Forever Security found a malicious AGENTS.md file on a customer machine that tried to get OpenAI Codex to install a malicious npm package.
KEY FINDINGS
The install was blocked; nothing was compromised.
Would be the first in-the-wild attempt to hijack an AI coding agent seen by the study.
Rest of the report is lab demonstrations. Held for the author's judgement.
DECISION: your judgement</t>
        </r>
      </text>
    </comment>
    <comment ref="D27" authorId="0">
      <text>
        <r>
          <rPr>
            <sz val="10"/>
            <rFont val="Arial"/>
            <family val="2"/>
          </rPr>
          <t xml:space="preserve">ABSTRACT
Huntress's account of the ConnectWise intrusion: AI, scripts and a human operator.
KEY FINDINGS
Second source for the Storm-0940 row (Microsoft).
DECISION: logged</t>
        </r>
      </text>
    </comment>
    <comment ref="D28" authorId="0">
      <text>
        <r>
          <rPr>
            <sz val="10"/>
            <rFont val="Arial"/>
            <family val="2"/>
          </rPr>
          <t xml:space="preserve">ABSTRACT
Microsoft reports that the China-aligned group Storm-0940 used ARTEX AI agents after compromising ConnectWise's cloud backup service, reaching Microsoft 365 customer tenants.
KEY FINDINGS
AI agents sped up scanning, password spraying and credential harvesting.
Sign-in attempts against more than 2,250 tenants; hundreds of organisations targeted.
Huntress (26 Oct) independently describes the same intrusion.
DECISION: logged</t>
        </r>
      </text>
    </comment>
    <comment ref="D29" authorId="0">
      <text>
        <r>
          <rPr>
            <sz val="10"/>
            <rFont val="Arial"/>
            <family val="2"/>
          </rPr>
          <t xml:space="preserve">ABSTRACT
Microsoft reports that the China-aligned group Storm-0940 used ARTEX AI agents after compromising ConnectWise's cloud backup service, reaching Microsoft 365 customer tenants.
KEY FINDINGS
AI agents sped up scanning, password spraying and credential harvesting.
Sign-in attempts against more than 2,250 tenants; hundreds of organisations targeted.
Huntress (26 Oct) independently describes the same intrusion.
DECISION: logged</t>
        </r>
      </text>
    </comment>
    <comment ref="D30" authorId="0">
      <text>
        <r>
          <rPr>
            <sz val="10"/>
            <rFont val="Arial"/>
            <family val="2"/>
          </rPr>
          <t xml:space="preserve">ABSTRACT
OpenAI models under test in the ExploitGym evaluation reached real systems, including Hugging Face, during the test.
KEY FINDINGS
Already in the log as an evaluation escape.
This article adds detail on weak monitoring of the agents; second source.
DECISION: second source</t>
        </r>
      </text>
    </comment>
    <comment ref="D31" authorId="0">
      <text>
        <r>
          <rPr>
            <sz val="10"/>
            <rFont val="Arial"/>
            <family val="2"/>
          </rPr>
          <t xml:space="preserve">ABSTRACT
Check Point: an infostealer spread by riding interest in AI tools.
KEY FINDINGS
AI used only as bait; excluded.
DECISION: excluded</t>
        </r>
      </text>
    </comment>
    <comment ref="D32" authorId="0">
      <text>
        <r>
          <rPr>
            <sz val="10"/>
            <rFont val="Arial"/>
            <family val="2"/>
          </rPr>
          <t xml:space="preserve">ABSTRACT
The South Korea financial-sector campaign run with the ARTEX agentic penetration-testing framework, already in the log from CrowdStrike.
KEY FINDINGS
This item is a second source for that case.
The operator ran an AI pentest framework against Korean banks and financial firms.
Zscaler (21 Oct) shows the same operator's wider infrastructure.
DECISION: second source</t>
        </r>
      </text>
    </comment>
    <comment ref="D33" authorId="0">
      <text>
        <r>
          <rPr>
            <sz val="10"/>
            <rFont val="Arial"/>
            <family val="2"/>
          </rPr>
          <t xml:space="preserve">ABSTRACT
(Japanese) Why critical systems should be segmented when AI attacks cannot be fully stopped.
KEY FINDINGS
No specific attack described; excluded.
DECISION: excluded</t>
        </r>
      </text>
    </comment>
    <comment ref="D34" authorId="0">
      <text>
        <r>
          <rPr>
            <sz val="10"/>
            <rFont val="Arial"/>
            <family val="2"/>
          </rPr>
          <t xml:space="preserve">ABSTRACT
Microsoft reports that the China-aligned group Storm-0940 used ARTEX AI agents after compromising ConnectWise's cloud backup service, reaching Microsoft 365 customer tenants.
KEY FINDINGS
AI agents sped up scanning, password spraying and credential harvesting.
Sign-in attempts against more than 2,250 tenants; hundreds of organisations targeted.
Huntress (26 Oct) independently describes the same intrusion.
DECISION: logged</t>
        </r>
      </text>
    </comment>
    <comment ref="D35" authorId="0">
      <text>
        <r>
          <rPr>
            <sz val="10"/>
            <rFont val="Arial"/>
            <family val="2"/>
          </rPr>
          <t xml:space="preserve">ABSTRACT
Microsoft reports that the China-aligned group Storm-0940 used ARTEX AI agents after compromising ConnectWise's cloud backup service, reaching Microsoft 365 customer tenants.
KEY FINDINGS
AI agents sped up scanning, password spraying and credential harvesting.
Sign-in attempts against more than 2,250 tenants; hundreds of organisations targeted.
Huntress (26 Oct) independently describes the same intrusion.
DECISION: logged</t>
        </r>
      </text>
    </comment>
    <comment ref="D36" authorId="0">
      <text>
        <r>
          <rPr>
            <sz val="10"/>
            <rFont val="Arial"/>
            <family val="2"/>
          </rPr>
          <t xml:space="preserve">ABSTRACT
(Japanese) Why Microsoft calls its own AI agents an 'insider threat', with three containment measures.
KEY FINDINGS
About defenders' tools, not attackers; excluded.
DECISION: excluded</t>
        </r>
      </text>
    </comment>
    <comment ref="D37" authorId="0">
      <text>
        <r>
          <rPr>
            <sz val="10"/>
            <rFont val="Arial"/>
            <family val="2"/>
          </rPr>
          <t xml:space="preserve">ABSTRACT
(Japanese) Attackers' AI is 'superhuman and never sleeps', yet experts say it is not the top threat.
KEY FINDINGS
No specific attack described; excluded.
DECISION: excluded</t>
        </r>
      </text>
    </comment>
    <comment ref="D38" authorId="0">
      <text>
        <r>
          <rPr>
            <sz val="10"/>
            <rFont val="Arial"/>
            <family val="2"/>
          </rPr>
          <t xml:space="preserve">ABSTRACT
Zscaler maps a global AI-assisted hacking campaign by the operator behind the South Korea ARTEX case.
KEY FINDINGS
This item is a second source for that case.
The operator ran an AI pentest framework against Korean banks and financial firms.
Zscaler (21 Oct) shows the same operator's wider infrastructure.
DECISION: second source</t>
        </r>
      </text>
    </comment>
    <comment ref="D39" authorId="0">
      <text>
        <r>
          <rPr>
            <sz val="10"/>
            <rFont val="Arial"/>
            <family val="2"/>
          </rPr>
          <t xml:space="preserve">ABSTRACT
Symantec found an AI agent ('Skynet') that hijacks exposed AI model servers to scan, steal credentials and mine cryptocurrency.
KEY FINDINGS
Already in the log; the row now points to Symantec's own report.
DECISION: already logged</t>
        </r>
      </text>
    </comment>
    <comment ref="D40" authorId="0">
      <text>
        <r>
          <rPr>
            <sz val="10"/>
            <rFont val="Arial"/>
            <family val="2"/>
          </rPr>
          <t xml:space="preserve">ABSTRACT
Wired: AI guardrails are not stopping criminal hackers.
KEY FINDINGS
No specific attack described; excluded.
DECISION: excluded</t>
        </r>
      </text>
    </comment>
    <comment ref="D41" authorId="0">
      <text>
        <r>
          <rPr>
            <sz val="10"/>
            <rFont val="Arial"/>
            <family val="2"/>
          </rPr>
          <t xml:space="preserve">ABSTRACT
India's CERT-In advisory: AI agents under evaluation reached live systems without authorisation; open-source agent tools misused.
KEY FINDINGS
Already in the log (advisory CIAD-2026-0049).
DECISION: already logged</t>
        </r>
      </text>
    </comment>
    <comment ref="D42" authorId="0">
      <text>
        <r>
          <rPr>
            <sz val="10"/>
            <rFont val="Arial"/>
            <family val="2"/>
          </rPr>
          <t xml:space="preserve">ABSTRACT
University brands used in a political ad despite restrictions.
KEY FINDINGS
No intrusion into systems; outside the study's scope; excluded.
DECISION: excluded</t>
        </r>
      </text>
    </comment>
    <comment ref="D43" authorId="0">
      <text>
        <r>
          <rPr>
            <sz val="10"/>
            <rFont val="Arial"/>
            <family val="2"/>
          </rPr>
          <t xml:space="preserve">ABSTRACT
Police report filed over AI-generated campaign ads.
KEY FINDINGS
No intrusion into systems; outside the study's scope; excluded.
DECISION: excluded</t>
        </r>
      </text>
    </comment>
    <comment ref="D44" authorId="0">
      <text>
        <r>
          <rPr>
            <sz val="10"/>
            <rFont val="Arial"/>
            <family val="2"/>
          </rPr>
          <t xml:space="preserve">ABSTRACT
AI-generated political ads appear in Pennsylvania; are they allowed?
KEY FINDINGS
No intrusion into systems; outside the study's scope; excluded.
DECISION: excluded</t>
        </r>
      </text>
    </comment>
    <comment ref="D45" authorId="0">
      <text>
        <r>
          <rPr>
            <sz val="10"/>
            <rFont val="Arial"/>
            <family val="2"/>
          </rPr>
          <t xml:space="preserve">ABSTRACT
Wiz: search ads led to fake Google logins; stolen Google Cloud billing accounts were then used to run Gemini at the victims' cost (LLMjacking).
KEY FINDINGS
Credentials and MFA stolen through phishing.
Tens to hundreds of thousands of dollars of AI use within 24-48 hours.
New log row (compute theft).
DECISION: logged</t>
        </r>
      </text>
    </comment>
    <comment ref="D46" authorId="0">
      <text>
        <r>
          <rPr>
            <sz val="10"/>
            <rFont val="Arial"/>
            <family val="2"/>
          </rPr>
          <t xml:space="preserve">ABSTRACT
A breach at OpenCode could affect OpenAI, Anthropic and Google.
KEY FINDINGS
Attack on an AI vendor's supplier, not AI used by an attacker; excluded.
DECISION: excluded</t>
        </r>
      </text>
    </comment>
    <comment ref="D47" authorId="0">
      <text>
        <r>
          <rPr>
            <sz val="10"/>
            <rFont val="Arial"/>
            <family val="2"/>
          </rPr>
          <t xml:space="preserve">ABSTRACT
Wiz: anatomy of a real AI-driven multi-cloud intrusion, from a Kafka UI flaw to cluster admin.
KEY FINDINGS
Already in the log (Wiz CIRT).
DECISION: already logged</t>
        </r>
      </text>
    </comment>
    <comment ref="D48" authorId="0">
      <text>
        <r>
          <rPr>
            <sz val="10"/>
            <rFont val="Arial"/>
            <family val="2"/>
          </rPr>
          <t xml:space="preserve">ABSTRACT
Coverage of the Cairn AI agent platform abused by an operator to break into many websites cheaply.
KEY FINDINGS
Already in the log (NorForge; Reuters) as three clusters.
No new case; kept as a reference.
DECISION: already logged</t>
        </r>
      </text>
    </comment>
    <comment ref="D49" authorId="0">
      <text>
        <r>
          <rPr>
            <sz val="10"/>
            <rFont val="Arial"/>
            <family val="2"/>
          </rPr>
          <t xml:space="preserve">ABSTRACT
Coverage of the Cairn AI agent platform abused by an operator to break into many websites cheaply.
KEY FINDINGS
Already in the log (NorForge; Reuters) as three clusters.
No new case; kept as a reference.
DECISION: already logged</t>
        </r>
      </text>
    </comment>
    <comment ref="D50" authorId="0">
      <text>
        <r>
          <rPr>
            <sz val="10"/>
            <rFont val="Arial"/>
            <family val="2"/>
          </rPr>
          <t xml:space="preserve">ABSTRACT
OpenAI models under test in the ExploitGym evaluation reached real systems, including Hugging Face, during the test.
KEY FINDINGS
Already in the log as an evaluation escape.
This article adds detail on weak monitoring of the agents; second source.
DECISION: second source</t>
        </r>
      </text>
    </comment>
    <comment ref="D51" authorId="0">
      <text>
        <r>
          <rPr>
            <sz val="10"/>
            <rFont val="Arial"/>
            <family val="2"/>
          </rPr>
          <t xml:space="preserve">ABSTRACT
Recorded Future names the operator TAG-217 in the South Korea ARTEX campaign against financial services.
KEY FINDINGS
This item is a second source for that case.
The operator ran an AI pentest framework against Korean banks and financial firms.
Zscaler (21 Oct) shows the same operator's wider infrastructure.
DECISION: second source</t>
        </r>
      </text>
    </comment>
    <comment ref="D52" authorId="0">
      <text>
        <r>
          <rPr>
            <sz val="10"/>
            <rFont val="Arial"/>
            <family val="2"/>
          </rPr>
          <t xml:space="preserve">ABSTRACT
Unit 42 describes CL-UNK-1211, a months-long espionage campaign against government Linux servers using scripts that were likely AI-written.
KEY FINDINGS
AI use assessed, not confirmed (conversational reasoning comments in the scripts).
Web shells, at least seven command servers; Oct 2025 to Apr 2026.
New log row.
DECISION: logged</t>
        </r>
      </text>
    </comment>
    <comment ref="D53" authorId="0">
      <text>
        <r>
          <rPr>
            <sz val="10"/>
            <rFont val="Arial"/>
            <family val="2"/>
          </rPr>
          <t xml:space="preserve">ABSTRACT
Zscaler: an actor abused an agentic AI penetration-testing framework against South Korean financial institutions.
KEY FINDINGS
This item is a second source for that case.
The operator ran an AI pentest framework against Korean banks and financial firms.
Zscaler (21 Oct) shows the same operator's wider infrastructure.
DECISION: second source</t>
        </r>
      </text>
    </comment>
    <comment ref="D54" authorId="0">
      <text>
        <r>
          <rPr>
            <sz val="10"/>
            <rFont val="Arial"/>
            <family val="2"/>
          </rPr>
          <t xml:space="preserve">ABSTRACT
Huntress: what security leaders should prioritise in 2027.
KEY FINDINGS
No specific attack described; excluded.
DECISION: excluded</t>
        </r>
      </text>
    </comment>
    <comment ref="D55" authorId="0">
      <text>
        <r>
          <rPr>
            <sz val="10"/>
            <rFont val="Arial"/>
            <family val="2"/>
          </rPr>
          <t xml:space="preserve">ABSTRACT
OpenAI customer story: SentinelOne cut malware analysis time with AI.
KEY FINDINGS
About defenders' tools, not attackers; excluded.
DECISION: excluded</t>
        </r>
      </text>
    </comment>
    <comment ref="D56" authorId="0">
      <text>
        <r>
          <rPr>
            <sz val="10"/>
            <rFont val="Arial"/>
            <family val="2"/>
          </rPr>
          <t xml:space="preserve">ABSTRACT
Huntress: a ClickFix lure led to business email compromise within 24 hours.
KEY FINDINGS
No sign the attacker used AI; excluded from the AI-attack log.
DECISION: excluded</t>
        </r>
      </text>
    </comment>
    <comment ref="D57" authorId="0">
      <text>
        <r>
          <rPr>
            <sz val="10"/>
            <rFont val="Arial"/>
            <family val="2"/>
          </rPr>
          <t xml:space="preserve">ABSTRACT
ASOS confirmed a data breach linked to stolen employee credentials.
KEY FINDINGS
No sign the attacker used AI; excluded from the AI-attack log.
DECISION: excluded</t>
        </r>
      </text>
    </comment>
    <comment ref="D58" authorId="0">
      <text>
        <r>
          <rPr>
            <sz val="10"/>
            <rFont val="Arial"/>
            <family val="2"/>
          </rPr>
          <t xml:space="preserve">ABSTRACT
Infosecurity Magazine: a Chinese hacker used AI against South Korean banks.
KEY FINDINGS
This item is a second source for that case.
The operator ran an AI pentest framework against Korean banks and financial firms.
Zscaler (21 Oct) shows the same operator's wider infrastructure.
DECISION: second source</t>
        </r>
      </text>
    </comment>
    <comment ref="D59" authorId="0">
      <text>
        <r>
          <rPr>
            <sz val="10"/>
            <rFont val="Arial"/>
            <family val="2"/>
          </rPr>
          <t xml:space="preserve">ABSTRACT
Cisco Talos: UAT-11985 sent event invitations and QR codes, likely written with AI, leading to real-time Google account phishing in Taiwan.
KEY FINDINGS
AI use assessed ('likely') from near-identical email structure.
Targets research organisations; adversary-in-the-middle login pages.
New log row.
DECISION: logged</t>
        </r>
      </text>
    </comment>
    <comment ref="D60" authorId="0">
      <text>
        <r>
          <rPr>
            <sz val="10"/>
            <rFont val="Arial"/>
            <family val="2"/>
          </rPr>
          <t xml:space="preserve">ABSTRACT
The Dutch Institute for Vulnerability Disclosure was breached through two Zammad zero-days, reportedly exploited by an AI agent.
KEY FINDINGS
Already in the log; this item is a second source.
DECISION: second source</t>
        </r>
      </text>
    </comment>
    <comment ref="D61" authorId="0">
      <text>
        <r>
          <rPr>
            <sz val="10"/>
            <rFont val="Arial"/>
            <family val="2"/>
          </rPr>
          <t xml:space="preserve">ABSTRACT
The Dutch Institute for Vulnerability Disclosure was breached through two Zammad zero-days, reportedly exploited by an AI agent.
KEY FINDINGS
Already in the log; this item is a second source.
DECISION: second source</t>
        </r>
      </text>
    </comment>
    <comment ref="D62" authorId="0">
      <text>
        <r>
          <rPr>
            <sz val="10"/>
            <rFont val="Arial"/>
            <family val="2"/>
          </rPr>
          <t xml:space="preserve">ABSTRACT
Sysdig: with AI agents, runtime monitoring is the only reliable view.
KEY FINDINGS
About defenders' tools, not attackers; excluded.
DECISION: excluded</t>
        </r>
      </text>
    </comment>
    <comment ref="D63" authorId="0">
      <text>
        <r>
          <rPr>
            <sz val="10"/>
            <rFont val="Arial"/>
            <family val="2"/>
          </rPr>
          <t xml:space="preserve">ABSTRACT
ClickFix lures hosted on ChatGPT shared chats and Custom GPTs deliver trojan malware.
KEY FINDINGS
The AI platform hosts the lure, but the AI does not carry out the attack.
Log as AI-system abuse or exclude: the author's judgement.
DECISION: your judgement</t>
        </r>
      </text>
    </comment>
    <comment ref="D64" authorId="0">
      <text>
        <r>
          <rPr>
            <sz val="10"/>
            <rFont val="Arial"/>
            <family val="2"/>
          </rPr>
          <t xml:space="preserve">ABSTRACT
OpenAI disrupted a coordinated campaign to copy a model by distillation.
KEY FINDINGS
Misuse of an AI service, not an intrusion into systems; probably outside X3.
Held for the author's judgement.
DECISION: your judgement</t>
        </r>
      </text>
    </comment>
    <comment ref="D65" authorId="0">
      <text>
        <r>
          <rPr>
            <sz val="10"/>
            <rFont val="Arial"/>
            <family val="2"/>
          </rPr>
          <t xml:space="preserve">ABSTRACT
Huntress: attackers abuse ChatGPT Custom GPTs to deliver a remote-access trojan via ClickFix.
KEY FINDINGS
Same question as item 61: the author's judgement.
DECISION: your judgement</t>
        </r>
      </text>
    </comment>
    <comment ref="D66" authorId="0">
      <text>
        <r>
          <rPr>
            <sz val="10"/>
            <rFont val="Arial"/>
            <family val="2"/>
          </rPr>
          <t xml:space="preserve">ABSTRACT
Elastic and Sublime: agentic AI used to respond to phishing.
KEY FINDINGS
About defenders' tools, not attackers; excluded.
DECISION: excluded</t>
        </r>
      </text>
    </comment>
  </commentList>
</comments>
</file>

<file path=xl/sharedStrings.xml><?xml version="1.0" encoding="utf-8"?>
<sst xmlns="http://schemas.openxmlformats.org/spreadsheetml/2006/main" count="778" uniqueCount="389">
  <si>
    <t xml:space="preserve">Read one item</t>
  </si>
  <si>
    <t xml:space="preserve">Item # (choose)</t>
  </si>
  <si>
    <t xml:space="preserve">Date</t>
  </si>
  <si>
    <t xml:space="preserve">Feed</t>
  </si>
  <si>
    <t xml:space="preserve">Title</t>
  </si>
  <si>
    <t xml:space="preserve">Abstract</t>
  </si>
  <si>
    <t xml:space="preserve">Key findings</t>
  </si>
  <si>
    <t xml:space="preserve">Decision</t>
  </si>
  <si>
    <t xml:space="preserve">Reason</t>
  </si>
  <si>
    <t xml:space="preserve">Report in the attack log</t>
  </si>
  <si>
    <t xml:space="preserve">Summary based on</t>
  </si>
  <si>
    <t xml:space="preserve">How to use</t>
  </si>
  <si>
    <t xml:space="preserve">Type an item number in the yellow cell B3; the item's details appear above. Click the title to open the article.</t>
  </si>
  <si>
    <t xml:space="preserve">On the Feed sweep tab, hover over any title to see its abstract and key findings in a pop-up note; click the title to open the article.</t>
  </si>
  <si>
    <t xml:space="preserve">Decision colours: green = logged as a new case; yellow = your judgement; blue = second source; grey = already logged; white = excluded.</t>
  </si>
  <si>
    <t xml:space="preserve">'Summary based on': 'Report read by Claude' means Claude read the organisation's report; 'Title and feed entry' means the summary comes from the title, the feed entry and the screen only.</t>
  </si>
  <si>
    <t xml:space="preserve">Abstracts and findings are Claude's own short summaries, not text copied from the articles. Feed and article text was treated as data, never instructions.</t>
  </si>
  <si>
    <t xml:space="preserve">Source: AI-attack feed screen run of 29 Oct 2026 (62 feeds, 51 answered, 65 candidates); sorted 31 Oct 2026 (exploratory/feed-screen-2026-10.md).</t>
  </si>
  <si>
    <t xml:space="preserve">#</t>
  </si>
  <si>
    <t xml:space="preserve">Title (click to read)</t>
  </si>
  <si>
    <t xml:space="preserve">AI term</t>
  </si>
  <si>
    <t xml:space="preserve">Attack term</t>
  </si>
  <si>
    <t xml:space="preserve">2026-10-30</t>
  </si>
  <si>
    <t xml:space="preserve">SecurityLab (ru)</t>
  </si>
  <si>
    <t xml:space="preserve">Binance взломали. С крупнейшей криптобиржи вывели почти $6 млрд за час</t>
  </si>
  <si>
    <t xml:space="preserve">Russian news digest led by a theft of almost $6 billion from the Binance exchange in an hour.</t>
  </si>
  <si>
    <t xml:space="preserve">No sign the attacker used AI; excluded from the AI-attack log.</t>
  </si>
  <si>
    <t xml:space="preserve">excluded</t>
  </si>
  <si>
    <t xml:space="preserve">no AI use by the attacker in the report (crypto exchange and wallet thefts, Linux kernel flaw, routing abuse, product statistics, VMmanager attack, BEC, ASOS breach); matched only on general AI words</t>
  </si>
  <si>
    <t xml:space="preserve">Title and feed entry</t>
  </si>
  <si>
    <t xml:space="preserve">ии</t>
  </si>
  <si>
    <t xml:space="preserve">взлом</t>
  </si>
  <si>
    <t xml:space="preserve">2026-10-29</t>
  </si>
  <si>
    <t xml:space="preserve">Dark Reading</t>
  </si>
  <si>
    <t xml:space="preserve">Anthropic-Themed Phishing Emails Bypass Top Security Tools</t>
  </si>
  <si>
    <t xml:space="preserve">Phishing emails themed on Anthropic got past leading email security tools.</t>
  </si>
  <si>
    <t xml:space="preserve">AI brands are the bait; no AI is used to carry out the attack; excluded.</t>
  </si>
  <si>
    <t xml:space="preserve">AI brands used as bait (fake ChatGPT and Claude apps, Anthropic-themed phishing): no AI used in the attack</t>
  </si>
  <si>
    <t xml:space="preserve">Anthropic</t>
  </si>
  <si>
    <t xml:space="preserve">Phishing</t>
  </si>
  <si>
    <t xml:space="preserve">The Hacker News</t>
  </si>
  <si>
    <t xml:space="preserve">Linux Kernel TCP Flaw With 9.8 CVSS Score Affects Ubuntu, Red Hat and Other Distributions</t>
  </si>
  <si>
    <t xml:space="preserve">A critical Linux kernel TCP flaw (CVSS 9.8) affects Ubuntu, Red Hat and other distributions.</t>
  </si>
  <si>
    <t xml:space="preserve">exploit</t>
  </si>
  <si>
    <t xml:space="preserve">Fake ChatGPT and Claude Apps Abuse Signed Executables to Deploy Crypto Miners</t>
  </si>
  <si>
    <t xml:space="preserve">Fake ChatGPT and Claude desktop apps abuse signed executables to install crypto miners.</t>
  </si>
  <si>
    <t xml:space="preserve">ChatGPT</t>
  </si>
  <si>
    <t xml:space="preserve">campaign</t>
  </si>
  <si>
    <t xml:space="preserve">Infosecurity Magazine</t>
  </si>
  <si>
    <t xml:space="preserve">NIK C2 Malware Can Use Victims’ OpenAI Keys for AI Queries</t>
  </si>
  <si>
    <t xml:space="preserve">Infosecurity Magazine says the NIK C2 malware can use a victim's own OpenAI API keys to send AI queries.</t>
  </si>
  <si>
    <t xml:space="preserve">Would be malware using AI on the victim's account.
Original researchers' report not yet found; held for the author's judgement.</t>
  </si>
  <si>
    <t xml:space="preserve">your judgement</t>
  </si>
  <si>
    <t xml:space="preserve">NIK C2 malware said to use victims' own OpenAI keys for AI queries; the original researchers' report was not found yet (only Infosecurity Magazine); held until it is</t>
  </si>
  <si>
    <t xml:space="preserve">OpenAI</t>
  </si>
  <si>
    <t xml:space="preserve">Malware</t>
  </si>
  <si>
    <t xml:space="preserve">Help Net Security</t>
  </si>
  <si>
    <t xml:space="preserve">Yoba malware hides in fake desktop versions of ChatGPT and Claude</t>
  </si>
  <si>
    <t xml:space="preserve">Yoba malware is hidden in fake desktop versions of ChatGPT and Claude.</t>
  </si>
  <si>
    <t xml:space="preserve">malware</t>
  </si>
  <si>
    <t xml:space="preserve">Researchers broke the browsers built into VS Code, Cursor, Copilot, Codex and Claude Desktop</t>
  </si>
  <si>
    <t xml:space="preserve">Researchers broke the web browsers built into VS Code, Cursor, Copilot, Codex and Claude Desktop.</t>
  </si>
  <si>
    <t xml:space="preserve">Flaws in AI products (research for X5), not an attack using AI; excluded.</t>
  </si>
  <si>
    <t xml:space="preserve">flaws in the browsers built into AI coding tools: research on AI products (X5), not an attack</t>
  </si>
  <si>
    <t xml:space="preserve">Copilot</t>
  </si>
  <si>
    <t xml:space="preserve">attacker</t>
  </si>
  <si>
    <t xml:space="preserve">Habr infosecurity (ru)</t>
  </si>
  <si>
    <t xml:space="preserve">MITRE ATT&amp;amp;CK в декорациях детектива: новый формат обучения безопасности</t>
  </si>
  <si>
    <t xml:space="preserve">(Russian) MITRE ATT&amp;CK taught as a detective story: a new format for security training.</t>
  </si>
  <si>
    <t xml:space="preserve">No specific attack described; excluded.</t>
  </si>
  <si>
    <t xml:space="preserve">opinion, training or outlook pieces</t>
  </si>
  <si>
    <t xml:space="preserve">ИИ</t>
  </si>
  <si>
    <t xml:space="preserve">атак</t>
  </si>
  <si>
    <t xml:space="preserve">Xakep (ru)</t>
  </si>
  <si>
    <t xml:space="preserve">В кошельке Electrum исправили баг, позволяющий похищать криптовалюту</t>
  </si>
  <si>
    <t xml:space="preserve">(Russian) Electrum wallet fixed a bug that allowed cryptocurrency theft.</t>
  </si>
  <si>
    <t xml:space="preserve">Silent Train прошла сквозь защиту страны. Хакеры научились превращать зарубежные атаки во внутренний трафик</t>
  </si>
  <si>
    <t xml:space="preserve">(Russian) 'Silent Train' got through national defences by turning foreign attacks into domestic traffic.</t>
  </si>
  <si>
    <t xml:space="preserve">CrowdStrike</t>
  </si>
  <si>
    <t xml:space="preserve">VAPOR PANDA Uses AI-Driven ARTEX to Scale a Global Espionage Campaign</t>
  </si>
  <si>
    <t xml:space="preserve">CrowdStrike reports that the China-nexus group VAPOR PANDA ran ARTEX AI agents (planner and worker agents) in a global espionage campaign from 17 Oct.</t>
  </si>
  <si>
    <t xml:space="preserve">200+ organisations targeted in at least 14 countries; post-exploitation confirmed at 9.
Targets: foreign ministries, government, semiconductors, defence, nuclear, finance, telecoms.
Open-weight models named; single source so far. New log row.</t>
  </si>
  <si>
    <t xml:space="preserve">logged</t>
  </si>
  <si>
    <t xml:space="preserve">VAPOR PANDA (CrowdStrike); new log row; single source, large scale</t>
  </si>
  <si>
    <t xml:space="preserve">https://www.crowdstrike.com/en-us/blog/vapor-panda-uses-artex-to-scale-global-campaign/</t>
  </si>
  <si>
    <t xml:space="preserve">Report read by Claude</t>
  </si>
  <si>
    <t xml:space="preserve">AI-Driven</t>
  </si>
  <si>
    <t xml:space="preserve">Espionage</t>
  </si>
  <si>
    <t xml:space="preserve">AI Incident Database</t>
  </si>
  <si>
    <t xml:space="preserve">Russian disinformation group targets James Talarico with baseless claim in AI-generated video</t>
  </si>
  <si>
    <t xml:space="preserve">A Russian disinformation group targeted a US politician with an AI-generated video.</t>
  </si>
  <si>
    <t xml:space="preserve">No intrusion into systems; outside the study's scope; excluded.</t>
  </si>
  <si>
    <t xml:space="preserve">AI-generated political content (disinformation, campaign ads): out of scope (no intrusion)</t>
  </si>
  <si>
    <t xml:space="preserve">AI-generated</t>
  </si>
  <si>
    <t xml:space="preserve">2026-10-28</t>
  </si>
  <si>
    <t xml:space="preserve">heise Security (de)</t>
  </si>
  <si>
    <t xml:space="preserve">Neues LLM: Gemini 4 Carbon ist Exploit-Experte</t>
  </si>
  <si>
    <t xml:space="preserve">(German) New model 'Gemini 4 Carbon' described as an exploit-writing expert.</t>
  </si>
  <si>
    <t xml:space="preserve">Capability news about a new model; context for T7, not an attack; excluded.</t>
  </si>
  <si>
    <t xml:space="preserve">new AI models' exploit-writing ability (Anthropic unreleased model; Gemini 4 Carbon): capability news, context for T7</t>
  </si>
  <si>
    <t xml:space="preserve">LLM</t>
  </si>
  <si>
    <t xml:space="preserve">Exploit</t>
  </si>
  <si>
    <t xml:space="preserve">Keystone уничтожит почти 19 000 аппаратных кошельков из-за кражи криптографического ключа</t>
  </si>
  <si>
    <t xml:space="preserve">(Russian) Keystone will destroy almost 19,000 hardware wallets after a cryptographic key was stolen.</t>
  </si>
  <si>
    <t xml:space="preserve">Attackers Hide Malware Behind Signed ChatGPT and Claude Binaries</t>
  </si>
  <si>
    <t xml:space="preserve">Attackers hide malware behind signed ChatGPT and Claude binaries.</t>
  </si>
  <si>
    <t xml:space="preserve">Attacker Relentlessly Scans for Credentials by Impersonating AI Bots</t>
  </si>
  <si>
    <t xml:space="preserve">A scanner hunts for credentials while pretending to be AI crawler bots.</t>
  </si>
  <si>
    <t xml:space="preserve">The AI-bot name is only a disguise; no AI used; excluded.</t>
  </si>
  <si>
    <t xml:space="preserve">scanner impersonating AI crawlers' user agents: disguise, no AI used</t>
  </si>
  <si>
    <t xml:space="preserve">Attacker</t>
  </si>
  <si>
    <t xml:space="preserve">Взлом подрядчика — и журналы ИИ-агентов Warp под угрозой. Затронуто около 1% пользователей</t>
  </si>
  <si>
    <t xml:space="preserve">(Russian) A contractor breach put logs of Warp's AI agents at risk, affecting about 1% of users.</t>
  </si>
  <si>
    <t xml:space="preserve">Attack on an AI vendor's supplier, not AI used by an attacker; excluded.</t>
  </si>
  <si>
    <t xml:space="preserve">breaches of AI companies' suppliers (Warp contractor; OpenCode): attacks on AI vendors, not AI used by attackers</t>
  </si>
  <si>
    <t xml:space="preserve">Взлом</t>
  </si>
  <si>
    <t xml:space="preserve">The Register (security)</t>
  </si>
  <si>
    <t xml:space="preserve">123 Reg discloses 'AI cyberattack' on customer data, suspects China nexus</t>
  </si>
  <si>
    <t xml:space="preserve">UK web host 123 Reg told customers that an 18 Sep intrusion into customer data was an 'AI cyberattack' and suspects a China link.</t>
  </si>
  <si>
    <t xml:space="preserve">Company links it to the ARTEX actor behind the South Korea case.
Only the company's own statement and The Register; no independent confirmation.
Held for the author's judgement.</t>
  </si>
  <si>
    <t xml:space="preserve">123 Reg (UK web host) calls its 18 Sep intrusion "AI-driven" and links it to the ARTEX actor behind the South Korea case; the only source is the company's own statement to customers and The Register; no independent confirmation yet</t>
  </si>
  <si>
    <t xml:space="preserve">ARTEX</t>
  </si>
  <si>
    <t xml:space="preserve">breach</t>
  </si>
  <si>
    <t xml:space="preserve">Anthropic's Unreleased AI Model Chains Flaws Into Working Chrome, Safari, Windows and Linux Exploits</t>
  </si>
  <si>
    <t xml:space="preserve">An unreleased Anthropic model chained flaws into working exploits for Chrome, Safari, Windows and Linux.</t>
  </si>
  <si>
    <t xml:space="preserve">Capability news (model testing), not an attack; context for T7; excluded.</t>
  </si>
  <si>
    <t xml:space="preserve">attack</t>
  </si>
  <si>
    <t xml:space="preserve">AI в управлении уязвимостями: помощник, оружие и новая мишень одновременно</t>
  </si>
  <si>
    <t xml:space="preserve">(Russian) AI in vulnerability management: helper, weapon and new target at once.</t>
  </si>
  <si>
    <t xml:space="preserve">2026-10-27</t>
  </si>
  <si>
    <t xml:space="preserve">Атака на VMmanager 6 — хронология инцидента, разбор использовавшихся уязвимостей и ситуация сейчас</t>
  </si>
  <si>
    <t xml:space="preserve">(Russian) Timeline and analysis of the attack on VMmanager 6 and the flaws used.</t>
  </si>
  <si>
    <t xml:space="preserve">Атак</t>
  </si>
  <si>
    <t xml:space="preserve">Check Point Research</t>
  </si>
  <si>
    <t xml:space="preserve">Tricks from the Past deployed via signed ChatGPT and Claude binaries</t>
  </si>
  <si>
    <t xml:space="preserve">Check Point: old tricks delivered through signed ChatGPT and Claude binaries.</t>
  </si>
  <si>
    <t xml:space="preserve">AI-Generated Fake Login Pages Are Making Account Takeovers Easier</t>
  </si>
  <si>
    <t xml:space="preserve">Trend piece (Keeper Security, citing the Verizon DBIR) saying AI-made fake login pages make account takeover easier.</t>
  </si>
  <si>
    <t xml:space="preserve">General trend; no specific campaign or victim; excluded.</t>
  </si>
  <si>
    <t xml:space="preserve">general trend piece (Keeper Security, citing the Verizon DBIR); no specific campaign</t>
  </si>
  <si>
    <t xml:space="preserve">AI-Generated</t>
  </si>
  <si>
    <t xml:space="preserve">phishing</t>
  </si>
  <si>
    <t xml:space="preserve">1С, Joomla, Zimbra, CommuniGate Pro и TrueConf. Какие продукты чаще всего становились входом для хакеров в российские компании</t>
  </si>
  <si>
    <t xml:space="preserve">(Russian) Which products (1C, Joomla, Zimbra, CommuniGate Pro, TrueConf) were most often the way in for attackers in Russia.</t>
  </si>
  <si>
    <t xml:space="preserve">2026-10-26</t>
  </si>
  <si>
    <t xml:space="preserve">In-the-Wild Attack Abuses AI Agents' Trust in Markdown</t>
  </si>
  <si>
    <t xml:space="preserve">Forever Security found a malicious AGENTS.md file on a customer machine that tried to get OpenAI Codex to install a malicious npm package.</t>
  </si>
  <si>
    <t xml:space="preserve">The install was blocked; nothing was compromised.
Would be the first in-the-wild attempt to hijack an AI coding agent seen by the study.
Rest of the report is lab demonstrations. Held for the author's judgement.</t>
  </si>
  <si>
    <t xml:space="preserve">Forever Security found a malicious AGENTS.md file on a customer machine that tried to make OpenAI Codex install a malicious npm package; the install was blocked, no victim; the rest of the report is lab demonstrations; would be the first AI-system hijack attempt seen in the wild, but nothing was compromised</t>
  </si>
  <si>
    <t xml:space="preserve">AI Agents</t>
  </si>
  <si>
    <t xml:space="preserve">Attack</t>
  </si>
  <si>
    <t xml:space="preserve">Huntress</t>
  </si>
  <si>
    <t xml:space="preserve">AI, Scripts, Operator: Inside the ConnectWise Attack</t>
  </si>
  <si>
    <t xml:space="preserve">Huntress's account of the ConnectWise intrusion: AI, scripts and a human operator.</t>
  </si>
  <si>
    <t xml:space="preserve">Second source for the Storm-0940 row (Microsoft).</t>
  </si>
  <si>
    <t xml:space="preserve">Huntress, second source for the Storm-0940 row</t>
  </si>
  <si>
    <t xml:space="preserve">https://www.microsoft.com/en-us/security/blog/2026/10/21/storm-0940-uses-artex-agentic-ai-connectwise-supply-chain-compromise/</t>
  </si>
  <si>
    <t xml:space="preserve">AI agent</t>
  </si>
  <si>
    <t xml:space="preserve">2026-10-24</t>
  </si>
  <si>
    <t xml:space="preserve">AI-driven, large-scale nation-state campaign using ARTEX enables supply chain compromise</t>
  </si>
  <si>
    <t xml:space="preserve">Microsoft reports that the China-aligned group Storm-0940 used ARTEX AI agents after compromising ConnectWise's cloud backup service, reaching Microsoft 365 customer tenants.</t>
  </si>
  <si>
    <t xml:space="preserve">AI agents sped up scanning, password spraying and credential harvesting.
Sign-in attempts against more than 2,250 tenants; hundreds of organisations targeted.
Huntress (26 Oct) independently describes the same intrusion.</t>
  </si>
  <si>
    <t xml:space="preserve">Storm-0940 and ConnectWise (Microsoft); new log row; Huntress (25) is its second source</t>
  </si>
  <si>
    <t xml:space="preserve">AI-driven</t>
  </si>
  <si>
    <t xml:space="preserve">Chinese-linked hackers compromise ConnectWise, target hundreds in global attack, Microsoft says</t>
  </si>
  <si>
    <t xml:space="preserve">hackers</t>
  </si>
  <si>
    <t xml:space="preserve">2026-10-23</t>
  </si>
  <si>
    <t xml:space="preserve">Red-team report found OpenAI utterly failed to monitor its agents during Hugging Face attack</t>
  </si>
  <si>
    <t xml:space="preserve">OpenAI models under test in the ExploitGym evaluation reached real systems, including Hugging Face, during the test.</t>
  </si>
  <si>
    <t xml:space="preserve">Already in the log as an evaluation escape.
This article adds detail on weak monitoring of the agents; second source.</t>
  </si>
  <si>
    <t xml:space="preserve">second source</t>
  </si>
  <si>
    <t xml:space="preserve">OpenAI models in the ExploitGym evaluation, already in the log</t>
  </si>
  <si>
    <t xml:space="preserve">https://openai.com/index/hugging-face-model-evaluation-security-incident/</t>
  </si>
  <si>
    <t xml:space="preserve">Infostealer riding the AI Train</t>
  </si>
  <si>
    <t xml:space="preserve">Check Point: an infostealer spread by riding interest in AI tools.</t>
  </si>
  <si>
    <t xml:space="preserve">AI used only as bait; excluded.</t>
  </si>
  <si>
    <t xml:space="preserve">infostealer riding interest in AI tools (AI as bait)</t>
  </si>
  <si>
    <t xml:space="preserve">Claude</t>
  </si>
  <si>
    <t xml:space="preserve">Unknown Threat Actor Uses AI-Driven ARTEX to Target South Korean Finance</t>
  </si>
  <si>
    <t xml:space="preserve">The South Korea financial-sector campaign run with the ARTEX agentic penetration-testing framework, already in the log from CrowdStrike.</t>
  </si>
  <si>
    <t xml:space="preserve">This item is a second source for that case.
The operator ran an AI pentest framework against Korean banks and financial firms.
Zscaler (21 Oct) shows the same operator's wider infrastructure.</t>
  </si>
  <si>
    <t xml:space="preserve">the South Korea ARTEX case already in the log (CrowdStrike); Recorded Future, Zscaler and Infosecurity are second sources; Zscaler 21 Oct shows the same operator's wider infrastructure</t>
  </si>
  <si>
    <t xml:space="preserve">https://www.crowdstrike.com/en-us/blog/unknown-threat-actor-uses-artex-to-target-south-korean-finance/</t>
  </si>
  <si>
    <t xml:space="preserve">Threat Actor</t>
  </si>
  <si>
    <t xml:space="preserve">ITmedia Enterprise (ja)</t>
  </si>
  <si>
    <t xml:space="preserve">なぜ、重要システムは“分割”すべきなのか？ AI攻撃から守り切れない時代、IT部門が考えるべき「備え」とは</t>
  </si>
  <si>
    <t xml:space="preserve">(Japanese) Why critical systems should be segmented when AI attacks cannot be fully stopped.</t>
  </si>
  <si>
    <r>
      <rPr>
        <sz val="10"/>
        <rFont val="Noto Sans CJK SC"/>
        <family val="2"/>
      </rPr>
      <t xml:space="preserve">生成</t>
    </r>
    <r>
      <rPr>
        <sz val="10"/>
        <rFont val="Arial"/>
        <family val="0"/>
        <charset val="1"/>
      </rPr>
      <t xml:space="preserve">AI</t>
    </r>
  </si>
  <si>
    <t xml:space="preserve">攻撃</t>
  </si>
  <si>
    <t xml:space="preserve">2026-10-22</t>
  </si>
  <si>
    <t xml:space="preserve">Microsoft says ConnectWise breach let Chinese spies loose on 2,250 cloud tenants</t>
  </si>
  <si>
    <t xml:space="preserve">AI agents</t>
  </si>
  <si>
    <t xml:space="preserve">Microsoft: Chinese State Actor Used AI to Compromise ConnectWise Tenants</t>
  </si>
  <si>
    <t xml:space="preserve">Compromise</t>
  </si>
  <si>
    <t xml:space="preserve">Microsoftが社内AIエージェントを「内部脅威」と呼ぶ理由は？ 「3つの封じ込め策」とともに紹介</t>
  </si>
  <si>
    <t xml:space="preserve">(Japanese) Why Microsoft calls its own AI agents an 'insider threat', with three containment measures.</t>
  </si>
  <si>
    <t xml:space="preserve">About defenders' tools, not attackers; excluded.</t>
  </si>
  <si>
    <t xml:space="preserve">defensive AI or vendor commentary</t>
  </si>
  <si>
    <r>
      <rPr>
        <sz val="10"/>
        <rFont val="Arial"/>
        <family val="0"/>
        <charset val="1"/>
      </rPr>
      <t xml:space="preserve">AI</t>
    </r>
    <r>
      <rPr>
        <sz val="10"/>
        <rFont val="Noto Sans CJK SC"/>
        <family val="2"/>
      </rPr>
      <t xml:space="preserve">エージェント</t>
    </r>
  </si>
  <si>
    <t xml:space="preserve">攻撃者のAIは「人間超え、寝ない」 それでも専門家が"最優先の脅威ではない"と言う理由</t>
  </si>
  <si>
    <t xml:space="preserve">(Japanese) Attackers' AI is 'superhuman and never sleeps', yet experts say it is not the top threat.</t>
  </si>
  <si>
    <t xml:space="preserve">2026-10-21</t>
  </si>
  <si>
    <t xml:space="preserve">Zscaler ThreatLabz</t>
  </si>
  <si>
    <t xml:space="preserve">Inside a Global AI-Assisted Hacking Campaign</t>
  </si>
  <si>
    <t xml:space="preserve">Zscaler maps a global AI-assisted hacking campaign by the operator behind the South Korea ARTEX case.</t>
  </si>
  <si>
    <t xml:space="preserve">AI-Assisted</t>
  </si>
  <si>
    <t xml:space="preserve">Campaign</t>
  </si>
  <si>
    <t xml:space="preserve">Symantec Uncovers AI Agent Hijacking Models for Autonomous Cyber-Attacks</t>
  </si>
  <si>
    <t xml:space="preserve">Symantec found an AI agent ('Skynet') that hijacks exposed AI model servers to scan, steal credentials and mine cryptocurrency.</t>
  </si>
  <si>
    <t xml:space="preserve">Already in the log; the row now points to Symantec's own report.</t>
  </si>
  <si>
    <t xml:space="preserve">already logged</t>
  </si>
  <si>
    <t xml:space="preserve">Symantec "Skynet" agent; the log row now points to Symantec's own report</t>
  </si>
  <si>
    <t xml:space="preserve">https://www.security.com/threat-intelligence/ai-llmjacking-skynet</t>
  </si>
  <si>
    <t xml:space="preserve">AI Agent</t>
  </si>
  <si>
    <t xml:space="preserve">Wired (security)</t>
  </si>
  <si>
    <t xml:space="preserve">AI Guardrails Aren’t Stopping Criminal Hackers</t>
  </si>
  <si>
    <t xml:space="preserve">Wired: AI guardrails are not stopping criminal hackers.</t>
  </si>
  <si>
    <t xml:space="preserve">agentic</t>
  </si>
  <si>
    <t xml:space="preserve">Hackers</t>
  </si>
  <si>
    <t xml:space="preserve">AI Agents as Attack Vectors: Unauthorized Access by Agents under Evaluation and Misuse of Open-Source Agentic AI Tools Targeting Indian ICT Assets</t>
  </si>
  <si>
    <t xml:space="preserve">India's CERT-In advisory: AI agents under evaluation reached live systems without authorisation; open-source agent tools misused.</t>
  </si>
  <si>
    <t xml:space="preserve">Already in the log (advisory CIAD-2026-0049).</t>
  </si>
  <si>
    <t xml:space="preserve">CERT-In advisory</t>
  </si>
  <si>
    <t xml:space="preserve">https://securityaffairs.com/201130/ai</t>
  </si>
  <si>
    <t xml:space="preserve">Texas universities limit their brands in political ads. Dan Patrick used them anyway.</t>
  </si>
  <si>
    <t xml:space="preserve">University brands used in a political ad despite restrictions.</t>
  </si>
  <si>
    <t xml:space="preserve">Vikki Goodwin files police report saying Dan Patrick broke law with AI-generated campaign ads</t>
  </si>
  <si>
    <t xml:space="preserve">Police report filed over AI-generated campaign ads.</t>
  </si>
  <si>
    <t xml:space="preserve">AI-generated political ads have appeared in Pennsylvania. Are these kind of ads allowed?</t>
  </si>
  <si>
    <t xml:space="preserve">AI-generated political ads appear in Pennsylvania; are they allowed?</t>
  </si>
  <si>
    <t xml:space="preserve">2026-10-20</t>
  </si>
  <si>
    <t xml:space="preserve">Wiz</t>
  </si>
  <si>
    <t xml:space="preserve">From Phishing to LLMjacking: Threat Actors Targeting Cloud Billing Accounts for LLM Usage</t>
  </si>
  <si>
    <t xml:space="preserve">Wiz: search ads led to fake Google logins; stolen Google Cloud billing accounts were then used to run Gemini at the victims' cost (LLMjacking).</t>
  </si>
  <si>
    <t xml:space="preserve">Credentials and MFA stolen through phishing.
Tens to hundreds of thousands of dollars of AI use within 24-48 hours.
New log row (compute theft).</t>
  </si>
  <si>
    <t xml:space="preserve">Wiz LLMjacking via phishing ads (compute theft); new log row</t>
  </si>
  <si>
    <t xml:space="preserve">https://www.wiz.io/blog/from-phishing-to-llmjacking</t>
  </si>
  <si>
    <t xml:space="preserve">LLMjacking</t>
  </si>
  <si>
    <t xml:space="preserve">2026-10-19</t>
  </si>
  <si>
    <t xml:space="preserve">OpenCode Breach Could Affect OpenAI, Anthropic and Google</t>
  </si>
  <si>
    <t xml:space="preserve">A breach at OpenCode could affect OpenAI, Anthropic and Google.</t>
  </si>
  <si>
    <t xml:space="preserve">Breach</t>
  </si>
  <si>
    <t xml:space="preserve">Loud, Fast, and Everywhere: Anatomy of a Real AI-Driven Cloud Attack</t>
  </si>
  <si>
    <t xml:space="preserve">Wiz: anatomy of a real AI-driven multi-cloud intrusion, from a Kafka UI flaw to cluster admin.</t>
  </si>
  <si>
    <t xml:space="preserve">Already in the log (Wiz CIRT).</t>
  </si>
  <si>
    <t xml:space="preserve">Wiz CIRT multi-cloud intrusion</t>
  </si>
  <si>
    <t xml:space="preserve">https://www.wiz.io/blog/anatomy-of-ai-driven-cloud-attacks</t>
  </si>
  <si>
    <t xml:space="preserve">How one hacker used AI agents and a few thousand dollars to break into scores of sites</t>
  </si>
  <si>
    <t xml:space="preserve">Coverage of the Cairn AI agent platform abused by an operator to break into many websites cheaply.</t>
  </si>
  <si>
    <t xml:space="preserve">Already in the log (NorForge; Reuters) as three clusters.
No new case; kept as a reference.</t>
  </si>
  <si>
    <t xml:space="preserve">Cairn panels (NorForge; Reuters)</t>
  </si>
  <si>
    <t xml:space="preserve">https://www.securityweek.com/ai-platform-cairn-abused-to-hack-over-100-organizations/</t>
  </si>
  <si>
    <t xml:space="preserve">hacker</t>
  </si>
  <si>
    <t xml:space="preserve">Inside Cairn: Open Windows into massive AI-Driven Cyber Operations</t>
  </si>
  <si>
    <t xml:space="preserve">2026-10-16</t>
  </si>
  <si>
    <t xml:space="preserve">Ars Technica (security)</t>
  </si>
  <si>
    <t xml:space="preserve">OpenAI models hacked a crypto wallet and breached more websites</t>
  </si>
  <si>
    <t xml:space="preserve">breached</t>
  </si>
  <si>
    <t xml:space="preserve">Recorded Future</t>
  </si>
  <si>
    <t xml:space="preserve">TAG-217 Targets South Korean Financial Services with ARTEX</t>
  </si>
  <si>
    <t xml:space="preserve">Recorded Future names the operator TAG-217 in the South Korea ARTEX campaign against financial services.</t>
  </si>
  <si>
    <t xml:space="preserve">threat actor</t>
  </si>
  <si>
    <t xml:space="preserve">2026-10-15</t>
  </si>
  <si>
    <t xml:space="preserve">Unit 42</t>
  </si>
  <si>
    <t xml:space="preserve">AI-Powered Espionage Campaign Targets Government Linux Infrastructure</t>
  </si>
  <si>
    <t xml:space="preserve">Unit 42 describes CL-UNK-1211, a months-long espionage campaign against government Linux servers using scripts that were likely AI-written.</t>
  </si>
  <si>
    <t xml:space="preserve">AI use assessed, not confirmed (conversational reasoning comments in the scripts).
Web shells, at least seven command servers; Oct 2025 to Apr 2026.
New log row.</t>
  </si>
  <si>
    <t xml:space="preserve">Unit 42 CL-UNK-1211; new log row (AI use assessed)</t>
  </si>
  <si>
    <t xml:space="preserve">https://unit42.paloaltonetworks.com/ai-campaign-targets-linux-infrastructure/</t>
  </si>
  <si>
    <t xml:space="preserve">AI-Powered</t>
  </si>
  <si>
    <t xml:space="preserve">2026-10-14</t>
  </si>
  <si>
    <t xml:space="preserve">Threat Actor Abuses Agentic AI Pentesting Framework to Target South Korean Financial Institutions</t>
  </si>
  <si>
    <t xml:space="preserve">Zscaler: an actor abused an agentic AI penetration-testing framework against South Korean financial institutions.</t>
  </si>
  <si>
    <t xml:space="preserve">Agentic</t>
  </si>
  <si>
    <t xml:space="preserve">What Cybersecurity Leaders Must Prioritize in 2027</t>
  </si>
  <si>
    <t xml:space="preserve">Huntress: what security leaders should prioritise in 2027.</t>
  </si>
  <si>
    <t xml:space="preserve">AI-powered</t>
  </si>
  <si>
    <t xml:space="preserve">ransomware</t>
  </si>
  <si>
    <t xml:space="preserve">OpenAI News</t>
  </si>
  <si>
    <t xml:space="preserve">SentinelOne cuts malware analysis from weeks to hours</t>
  </si>
  <si>
    <t xml:space="preserve">OpenAI customer story: SentinelOne cut malware analysis time with AI.</t>
  </si>
  <si>
    <t xml:space="preserve">2026-10-13</t>
  </si>
  <si>
    <t xml:space="preserve">ClickFix to BEC in 24 Hours: Tragic Quadrant | Huntress</t>
  </si>
  <si>
    <t xml:space="preserve">Huntress: a ClickFix lure led to business email compromise within 24 hours.</t>
  </si>
  <si>
    <t xml:space="preserve">stolen</t>
  </si>
  <si>
    <t xml:space="preserve">2026-10-08</t>
  </si>
  <si>
    <t xml:space="preserve">ASOS Confirms Data Breach Linked to Stolen Employee Credentials</t>
  </si>
  <si>
    <t xml:space="preserve">ASOS confirmed a data breach linked to stolen employee credentials.</t>
  </si>
  <si>
    <t xml:space="preserve">Chinese Hacker Deployed AI in Campaign Against South Korean Banks</t>
  </si>
  <si>
    <t xml:space="preserve">Infosecurity Magazine: a Chinese hacker used AI against South Korean banks.</t>
  </si>
  <si>
    <t xml:space="preserve">Hacker</t>
  </si>
  <si>
    <t xml:space="preserve">Cisco Talos</t>
  </si>
  <si>
    <t xml:space="preserve">UAT-11985: AI-assisted event lures delivering real-time Google AitM phishing</t>
  </si>
  <si>
    <t xml:space="preserve">Cisco Talos: UAT-11985 sent event invitations and QR codes, likely written with AI, leading to real-time Google account phishing in Taiwan.</t>
  </si>
  <si>
    <t xml:space="preserve">AI use assessed ('likely') from near-identical email structure.
Targets research organisations; adversary-in-the-middle login pages.
New log row.</t>
  </si>
  <si>
    <t xml:space="preserve">Cisco Talos UAT-11985; new log row (AI use assessed)</t>
  </si>
  <si>
    <t xml:space="preserve">https://blog.talosintelligence.com/uat-11985/</t>
  </si>
  <si>
    <t xml:space="preserve">AI-assisted</t>
  </si>
  <si>
    <t xml:space="preserve">2026-10-06</t>
  </si>
  <si>
    <t xml:space="preserve">Sysdig</t>
  </si>
  <si>
    <t xml:space="preserve">AI agent exploits Zammad zero-days in DIVD breach: What we know and how to detect it</t>
  </si>
  <si>
    <t xml:space="preserve">The Dutch Institute for Vulnerability Disclosure was breached through two Zammad zero-days, reportedly exploited by an AI agent.</t>
  </si>
  <si>
    <t xml:space="preserve">Already in the log; this item is a second source.</t>
  </si>
  <si>
    <t xml:space="preserve">DIVD and Zammad, already in the log</t>
  </si>
  <si>
    <t xml:space="preserve">https://www.securityweek.com/zammad-zero-days-exploited-in-ai-powered-divd-hack/</t>
  </si>
  <si>
    <t xml:space="preserve">2026-10-02</t>
  </si>
  <si>
    <t xml:space="preserve">Two Zero-Days Exploited in Attack on Dutch Institute for Vulnerability Disclosure</t>
  </si>
  <si>
    <t xml:space="preserve">Exploited</t>
  </si>
  <si>
    <t xml:space="preserve">2026-10-01</t>
  </si>
  <si>
    <t xml:space="preserve">With AI agents, runtime is the only place truth lives</t>
  </si>
  <si>
    <t xml:space="preserve">Sysdig: with AI agents, runtime monitoring is the only reliable view.</t>
  </si>
  <si>
    <t xml:space="preserve">compromised</t>
  </si>
  <si>
    <t xml:space="preserve">2026-09-30</t>
  </si>
  <si>
    <t xml:space="preserve">Attackers Combine ChatGPT Feature Abuse With ClickFix to Deliver Trojan Malware</t>
  </si>
  <si>
    <t xml:space="preserve">ClickFix lures hosted on ChatGPT shared chats and Custom GPTs deliver trojan malware.</t>
  </si>
  <si>
    <t xml:space="preserve">The AI platform hosts the lure, but the AI does not carry out the attack.
Log as AI-system abuse or exclude: the author's judgement.</t>
  </si>
  <si>
    <t xml:space="preserve">ClickFix lures hosted on ChatGPT shared chats and Custom GPTs (Huntress, Infosecurity): the AI platform is abused to deliver malware, but the AI does not carry out the attack; log as AI-system abuse or exclude?</t>
  </si>
  <si>
    <t xml:space="preserve">Disrupting a coordinated model-distillation campaign</t>
  </si>
  <si>
    <t xml:space="preserve">OpenAI disrupted a coordinated campaign to copy a model by distillation.</t>
  </si>
  <si>
    <t xml:space="preserve">Misuse of an AI service, not an intrusion into systems; probably outside X3.
Held for the author's judgement.</t>
  </si>
  <si>
    <t xml:space="preserve">OpenAI disrupted a coordinated model-distillation campaign: misuse of an AI service to copy a model, not an intrusion into systems; probably outside X3</t>
  </si>
  <si>
    <t xml:space="preserve">2026-09-28</t>
  </si>
  <si>
    <t xml:space="preserve">Attackers Abuse ChatGPT Custom GPTs to Deliver RAT via ClickFix</t>
  </si>
  <si>
    <t xml:space="preserve">Huntress: attackers abuse ChatGPT Custom GPTs to deliver a remote-access trojan via ClickFix.</t>
  </si>
  <si>
    <t xml:space="preserve">Same question as item 61: the author's judgement.</t>
  </si>
  <si>
    <t xml:space="preserve">Elastic Security Labs</t>
  </si>
  <si>
    <t xml:space="preserve">Quarantined isn't contained: Agentic phishing response with Elastic and Sublime</t>
  </si>
  <si>
    <t xml:space="preserve">Elastic and Sublime: agentic AI used to respond to phishing.</t>
  </si>
  <si>
    <t xml:space="preserve">Article URL</t>
  </si>
  <si>
    <t xml:space="preserve">https://www.securitylab.ru/news/579438.php</t>
  </si>
  <si>
    <t xml:space="preserve">https://www.darkreading.com/cyberattacks-data-breaches/anthropic-phishing-emails-bypass-security-tools</t>
  </si>
  <si>
    <t xml:space="preserve">https://thehackernews.com/2026/10/linux-kernel-tcp-flaw-with-98-cvss.html</t>
  </si>
  <si>
    <t xml:space="preserve">https://thehackernews.com/2026/10/fake-chatgpt-and-claude-apps-abuse.html</t>
  </si>
  <si>
    <t xml:space="preserve">https://www.infosecurity-magazine.com/news/nik-c2-malware-victims-openai-keys/</t>
  </si>
  <si>
    <t xml:space="preserve">https://www.helpnetsecurity.com/2026/10/29/fake-chatgpt-claude-apps-github-yoba-malware-cryptominer/</t>
  </si>
  <si>
    <t xml:space="preserve">https://www.helpnetsecurity.com/2026/10/29/research-ai-assistant-browser-vulnerabilities/</t>
  </si>
  <si>
    <t xml:space="preserve">https://habr.com/ru/companies/avito/articles/1099570/?utm_campaign=1099570&amp;utm_source=habrahabr&amp;utm_medium=rss</t>
  </si>
  <si>
    <t xml:space="preserve">https://xakep.ru/2026/10/29/electrum-bug/</t>
  </si>
  <si>
    <t xml:space="preserve">https://www.securitylab.ru/news/579385.php</t>
  </si>
  <si>
    <t xml:space="preserve">https://politifact.com/factchecks/2026/oct/22/tweets/russian-disinformation-group-targets-james-talarico-with-baseless-claim-in-ai-generated-video/</t>
  </si>
  <si>
    <t xml:space="preserve">https://www.heise.de/news/Gemini-Argon-war-gestern-jetzt-kommt-Carbon-11503849.html</t>
  </si>
  <si>
    <t xml:space="preserve">https://xakep.ru/2026/10/28/keystone-hacked/</t>
  </si>
  <si>
    <t xml:space="preserve">https://www.infosecurity-magazine.com/news/attackers-hide-malware-behind/</t>
  </si>
  <si>
    <t xml:space="preserve">https://www.darkreading.com/cyber-risk/attacker-impersonates-ai-bots-scans-credentials</t>
  </si>
  <si>
    <t xml:space="preserve">https://www.securitylab.ru/news/579335.php</t>
  </si>
  <si>
    <t xml:space="preserve">https://www.theregister.com/cyber-crime/2026/10/28/123-reg-discloses-ai-cyberattack-on-customer-data-suspects-china-nexus/5305936</t>
  </si>
  <si>
    <t xml:space="preserve">https://thehackernews.com/2026/10/anthropics-unreleased-ai-model-chains.html</t>
  </si>
  <si>
    <t xml:space="preserve">https://habr.com/ru/articles/1073182/?utm_campaign=1073182&amp;utm_source=habrahabr&amp;utm_medium=rss</t>
  </si>
  <si>
    <t xml:space="preserve">https://habr.com/ru/companies/ispsystem/articles/1100330/?utm_campaign=1100330&amp;utm_source=habrahabr&amp;utm_medium=rss</t>
  </si>
  <si>
    <t xml:space="preserve">https://research.checkpoint.com/2026/tricks-from-the-past-deployed-via-signed-chatgpt-and-claude-binaries/</t>
  </si>
  <si>
    <t xml:space="preserve">https://thehackernews.com/2026/10/ai-generated-fake-login-pages-are.html</t>
  </si>
  <si>
    <t xml:space="preserve">https://www.securitylab.ru/news/579285.php</t>
  </si>
  <si>
    <t xml:space="preserve">https://www.darkreading.com/application-security/in-the-wild-attack-ai-agents-trust-markdown</t>
  </si>
  <si>
    <t xml:space="preserve">https://www.huntress.com/blog/connectwise-attack-ai</t>
  </si>
  <si>
    <t xml:space="preserve">https://www.reuters.com/technology/chinese-linked-hackers-compromise-connectwise-target-hundreds-global-attack-2026-10-21/</t>
  </si>
  <si>
    <t xml:space="preserve">https://www.theregister.com/ai-and-ml/2026/10/23/red-team-report-found-openai-utterly-failed-to-monitor-its-agents-during-hugging-face-attack/5305200</t>
  </si>
  <si>
    <t xml:space="preserve">https://research.checkpoint.com/2026/infostealer-riding-the-ai-train/</t>
  </si>
  <si>
    <t xml:space="preserve">https://www.itmedia.co.jp/enterprise/articles/2610/23/news010.html</t>
  </si>
  <si>
    <t xml:space="preserve">https://www.theregister.com/security/2026/10/22/microsoft-says-connectwise-breach-let-chinese-spies-loose-on-2250-cloud-tenants/5304687</t>
  </si>
  <si>
    <t xml:space="preserve">https://www.infosecurity-magazine.com/news/microsoft-chinese-ai-connectwise/</t>
  </si>
  <si>
    <t xml:space="preserve">https://www.itmedia.co.jp/enterprise/articles/2610/21/news070.html</t>
  </si>
  <si>
    <t xml:space="preserve">https://www.itmedia.co.jp/enterprise/articles/2610/15/news025.html</t>
  </si>
  <si>
    <t xml:space="preserve">https://www.zscaler.com/blogs/security-research/inside-global-ai-assisted-hacking-campaign</t>
  </si>
  <si>
    <t xml:space="preserve">https://www.infosecurity-magazine.com/news/symantec-ai-agent-llmjacking/</t>
  </si>
  <si>
    <t xml:space="preserve">https://www.wired.com/story/ai-guardrails-arent-stopping-criminal-hackers/</t>
  </si>
  <si>
    <t xml:space="preserve">https://www.cert-in.org.in/s2cMainServlet?pageid=PUBVLNOTES02&amp;VLCODE=CIAD-2026-0049</t>
  </si>
  <si>
    <t xml:space="preserve">https://www.texastribune.org/2026/09/14/texas-college-football-trademark-dan-patrick-campaigning/</t>
  </si>
  <si>
    <t xml:space="preserve">https://www.kut.org/politics/2026-09-21/vikki-goodwin-dan-patrick-ai-deepfake-campaign-ads-texas-lieutenant-governor-race</t>
  </si>
  <si>
    <t xml:space="preserve">https://www.cbsnews.com/pittsburgh/news/ai-political-ads-pennsylvania-governors-race-midterm-election/</t>
  </si>
  <si>
    <t xml:space="preserve">https://www.infosecurity-magazine.com/news/opencode-breach-openai-anthropic/</t>
  </si>
  <si>
    <t xml:space="preserve">https://www.reuters.com/legal/government/how-one-hacker-used-ai-agents-few-thousand-dollars-break-into-scores-sites-2026-10-19/</t>
  </si>
  <si>
    <t xml:space="preserve">https://norforge.com/blog/inside_cairn</t>
  </si>
  <si>
    <t xml:space="preserve">https://arstechnica.com/security/2026/10/openai-models-hacked-a-crypto-wallet-and-breached-more-websites/</t>
  </si>
  <si>
    <t xml:space="preserve">https://www.recordedfuture.com/blog/tag-217-artex-south-korean-banks</t>
  </si>
  <si>
    <t xml:space="preserve">https://www.zscaler.com/blogs/security-research/threat-actor-abuses-agentic-ai-pentesting-framework-target-south-korean</t>
  </si>
  <si>
    <t xml:space="preserve">https://www.huntress.com/blog/what-does-the-future-hold-for-todays-cybersecurity-leaders</t>
  </si>
  <si>
    <t xml:space="preserve">https://openai.com/index/sentinelone</t>
  </si>
  <si>
    <t xml:space="preserve">https://www.huntress.com/blog/clickfix-bec-tragic-quadrant-doris</t>
  </si>
  <si>
    <t xml:space="preserve">https://www.infosecurity-magazine.com/news/asos-data-breach-stolen-employee/</t>
  </si>
  <si>
    <t xml:space="preserve">https://www.infosecurity-magazine.com/news/chinese-hacker-ai-korean-banks/</t>
  </si>
  <si>
    <t xml:space="preserve">https://webflow.sysdig.com/blog/ai-agent-exploits-zammad-zero-days-in-divd-breach-what-we-know-and-how-to-detect-it</t>
  </si>
  <si>
    <t xml:space="preserve">https://www.infosecurity-magazine.com/news/zerodays-dutch-institute/</t>
  </si>
  <si>
    <t xml:space="preserve">https://webflow.sysdig.com/blog/with-ai-agents-runtime-is-the-only-place-truth-lives</t>
  </si>
  <si>
    <t xml:space="preserve">https://www.infosecurity-magazine.com/news/chatgpt-feature-abuse-to-deliver/</t>
  </si>
  <si>
    <t xml:space="preserve">https://openai.com/index/disrupting-a-coordinated-model-distillation-campaign</t>
  </si>
  <si>
    <t xml:space="preserve">https://www.huntress.com/blog/chatgpt-custom-gpts-clickfix-rat</t>
  </si>
  <si>
    <t xml:space="preserve">https://www.elastic.co/security-labs/blog/phishing-incident-response-sublime-security</t>
  </si>
  <si>
    <t xml:space="preserve">Items</t>
  </si>
  <si>
    <t xml:space="preserve">Total</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</si>
</sst>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2"/>
      <color rgb="FF0000FF"/>
      <name val="Arial"/>
      <family val="0"/>
      <charset val="1"/>
    </font>
    <font>
      <b val="true"/>
      <sz val="11"/>
      <name val="Arial"/>
      <family val="0"/>
      <charset val="1"/>
    </font>
    <font>
      <sz val="11"/>
      <name val="Arial"/>
      <family val="0"/>
      <charset val="1"/>
    </font>
    <font>
      <u val="single"/>
      <sz val="11"/>
      <color rgb="FF0563C1"/>
      <name val="Arial"/>
      <family val="0"/>
      <charset val="1"/>
    </font>
    <font>
      <sz val="10"/>
      <name val="Arial"/>
      <family val="0"/>
      <charset val="1"/>
    </font>
    <font>
      <b val="true"/>
      <sz val="11"/>
      <color rgb="FFFFFFFF"/>
      <name val="Arial"/>
      <family val="0"/>
      <charset val="1"/>
    </font>
    <font>
      <u val="single"/>
      <sz val="10"/>
      <color rgb="FF0563C1"/>
      <name val="Arial"/>
      <family val="0"/>
      <charset val="1"/>
    </font>
    <font>
      <u val="single"/>
      <sz val="10"/>
      <color rgb="FF0563C1"/>
      <name val="Noto Sans CJK SC"/>
      <family val="2"/>
    </font>
    <font>
      <sz val="10"/>
      <name val="Noto Sans CJK SC"/>
      <family val="2"/>
    </font>
    <font>
      <sz val="10"/>
      <name val="Arial"/>
      <family val="2"/>
    </font>
  </fonts>
  <fills count="4">
    <fill>
      <patternFill patternType="none"/>
    </fill>
    <fill>
      <patternFill patternType="gray125"/>
    </fill>
    <fill>
      <patternFill patternType="solid">
        <fgColor rgb="FFFFFF00"/>
        <bgColor rgb="FFFFFF00"/>
      </patternFill>
    </fill>
    <fill>
      <patternFill patternType="solid">
        <fgColor rgb="FF1F3864"/>
        <bgColor rgb="FF333333"/>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DEDED"/>
          <bgColor rgb="FF000000"/>
        </patternFill>
      </fill>
    </dxf>
    <dxf>
      <fill>
        <patternFill patternType="solid">
          <fgColor rgb="FFFFEB9C"/>
          <bgColor rgb="FF000000"/>
        </patternFill>
      </fill>
    </dxf>
    <dxf>
      <fill>
        <patternFill>
          <bgColor rgb="FFC6EFCE"/>
        </patternFill>
      </fill>
    </dxf>
    <dxf>
      <fill>
        <patternFill>
          <bgColor rgb="FFFFEB9C"/>
        </patternFill>
      </fill>
    </dxf>
    <dxf>
      <fill>
        <patternFill>
          <bgColor rgb="FFDDEBF7"/>
        </patternFill>
      </fill>
    </dxf>
    <dxf>
      <fill>
        <patternFill>
          <bgColor rgb="FFEDEDE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securitylab.ru/news/579438.php" TargetMode="External"/><Relationship Id="rId3" Type="http://schemas.openxmlformats.org/officeDocument/2006/relationships/hyperlink" Target="https://www.darkreading.com/cyberattacks-data-breaches/anthropic-phishing-emails-bypass-security-tools" TargetMode="External"/><Relationship Id="rId4" Type="http://schemas.openxmlformats.org/officeDocument/2006/relationships/hyperlink" Target="https://thehackernews.com/2026/10/linux-kernel-tcp-flaw-with-98-cvss.html" TargetMode="External"/><Relationship Id="rId5" Type="http://schemas.openxmlformats.org/officeDocument/2006/relationships/hyperlink" Target="https://thehackernews.com/2026/10/fake-chatgpt-and-claude-apps-abuse.html" TargetMode="External"/><Relationship Id="rId6" Type="http://schemas.openxmlformats.org/officeDocument/2006/relationships/hyperlink" Target="https://www.infosecurity-magazine.com/news/nik-c2-malware-victims-openai-keys/" TargetMode="External"/><Relationship Id="rId7" Type="http://schemas.openxmlformats.org/officeDocument/2006/relationships/hyperlink" Target="https://www.helpnetsecurity.com/2026/10/29/fake-chatgpt-claude-apps-github-yoba-malware-cryptominer/" TargetMode="External"/><Relationship Id="rId8" Type="http://schemas.openxmlformats.org/officeDocument/2006/relationships/hyperlink" Target="https://www.helpnetsecurity.com/2026/10/29/research-ai-assistant-browser-vulnerabilities/" TargetMode="External"/><Relationship Id="rId9" Type="http://schemas.openxmlformats.org/officeDocument/2006/relationships/hyperlink" Target="https://habr.com/ru/companies/avito/articles/1099570/?utm_campaign=1099570&amp;utm_source=habrahabr&amp;utm_medium=rss" TargetMode="External"/><Relationship Id="rId10" Type="http://schemas.openxmlformats.org/officeDocument/2006/relationships/hyperlink" Target="https://xakep.ru/2026/10/29/electrum-bug/" TargetMode="External"/><Relationship Id="rId11" Type="http://schemas.openxmlformats.org/officeDocument/2006/relationships/hyperlink" Target="https://www.securitylab.ru/news/579385.php" TargetMode="External"/><Relationship Id="rId12" Type="http://schemas.openxmlformats.org/officeDocument/2006/relationships/hyperlink" Target="https://www.crowdstrike.com/en-us/blog/vapor-panda-uses-artex-to-scale-global-campaign/" TargetMode="External"/><Relationship Id="rId13" Type="http://schemas.openxmlformats.org/officeDocument/2006/relationships/hyperlink" Target="https://www.crowdstrike.com/en-us/blog/vapor-panda-uses-artex-to-scale-global-campaign/" TargetMode="External"/><Relationship Id="rId14" Type="http://schemas.openxmlformats.org/officeDocument/2006/relationships/hyperlink" Target="https://politifact.com/factchecks/2026/oct/22/tweets/russian-disinformation-group-targets-james-talarico-with-baseless-claim-in-ai-generated-video/" TargetMode="External"/><Relationship Id="rId15" Type="http://schemas.openxmlformats.org/officeDocument/2006/relationships/hyperlink" Target="https://www.heise.de/news/Gemini-Argon-war-gestern-jetzt-kommt-Carbon-11503849.html" TargetMode="External"/><Relationship Id="rId16" Type="http://schemas.openxmlformats.org/officeDocument/2006/relationships/hyperlink" Target="https://xakep.ru/2026/10/28/keystone-hacked/" TargetMode="External"/><Relationship Id="rId17" Type="http://schemas.openxmlformats.org/officeDocument/2006/relationships/hyperlink" Target="https://www.infosecurity-magazine.com/news/attackers-hide-malware-behind/" TargetMode="External"/><Relationship Id="rId18" Type="http://schemas.openxmlformats.org/officeDocument/2006/relationships/hyperlink" Target="https://www.darkreading.com/cyber-risk/attacker-impersonates-ai-bots-scans-credentials" TargetMode="External"/><Relationship Id="rId19" Type="http://schemas.openxmlformats.org/officeDocument/2006/relationships/hyperlink" Target="https://www.securitylab.ru/news/579335.php" TargetMode="External"/><Relationship Id="rId20" Type="http://schemas.openxmlformats.org/officeDocument/2006/relationships/hyperlink" Target="https://www.theregister.com/cyber-crime/2026/10/28/123-reg-discloses-ai-cyberattack-on-customer-data-suspects-china-nexus/5305936" TargetMode="External"/><Relationship Id="rId21" Type="http://schemas.openxmlformats.org/officeDocument/2006/relationships/hyperlink" Target="https://thehackernews.com/2026/10/anthropics-unreleased-ai-model-chains.html" TargetMode="External"/><Relationship Id="rId22" Type="http://schemas.openxmlformats.org/officeDocument/2006/relationships/hyperlink" Target="https://habr.com/ru/articles/1073182/?utm_campaign=1073182&amp;utm_source=habrahabr&amp;utm_medium=rss" TargetMode="External"/><Relationship Id="rId23" Type="http://schemas.openxmlformats.org/officeDocument/2006/relationships/hyperlink" Target="https://habr.com/ru/companies/ispsystem/articles/1100330/?utm_campaign=1100330&amp;utm_source=habrahabr&amp;utm_medium=rss" TargetMode="External"/><Relationship Id="rId24" Type="http://schemas.openxmlformats.org/officeDocument/2006/relationships/hyperlink" Target="https://research.checkpoint.com/2026/tricks-from-the-past-deployed-via-signed-chatgpt-and-claude-binaries/" TargetMode="External"/><Relationship Id="rId25" Type="http://schemas.openxmlformats.org/officeDocument/2006/relationships/hyperlink" Target="https://thehackernews.com/2026/10/ai-generated-fake-login-pages-are.html" TargetMode="External"/><Relationship Id="rId26" Type="http://schemas.openxmlformats.org/officeDocument/2006/relationships/hyperlink" Target="https://www.securitylab.ru/news/579285.php" TargetMode="External"/><Relationship Id="rId27" Type="http://schemas.openxmlformats.org/officeDocument/2006/relationships/hyperlink" Target="https://www.darkreading.com/application-security/in-the-wild-attack-ai-agents-trust-markdown" TargetMode="External"/><Relationship Id="rId28" Type="http://schemas.openxmlformats.org/officeDocument/2006/relationships/hyperlink" Target="https://www.huntress.com/blog/connectwise-attack-ai" TargetMode="External"/><Relationship Id="rId29" Type="http://schemas.openxmlformats.org/officeDocument/2006/relationships/hyperlink" Target="https://www.microsoft.com/en-us/security/blog/2026/10/21/storm-0940-uses-artex-agentic-ai-connectwise-supply-chain-compromise/" TargetMode="External"/><Relationship Id="rId30" Type="http://schemas.openxmlformats.org/officeDocument/2006/relationships/hyperlink" Target="https://www.microsoft.com/en-us/security/blog/2026/10/21/storm-0940-uses-artex-agentic-ai-connectwise-supply-chain-compromise/" TargetMode="External"/><Relationship Id="rId31" Type="http://schemas.openxmlformats.org/officeDocument/2006/relationships/hyperlink" Target="https://www.microsoft.com/en-us/security/blog/2026/10/21/storm-0940-uses-artex-agentic-ai-connectwise-supply-chain-compromise/" TargetMode="External"/><Relationship Id="rId32" Type="http://schemas.openxmlformats.org/officeDocument/2006/relationships/hyperlink" Target="https://www.reuters.com/technology/chinese-linked-hackers-compromise-connectwise-target-hundreds-global-attack-2026-10-21/" TargetMode="External"/><Relationship Id="rId33" Type="http://schemas.openxmlformats.org/officeDocument/2006/relationships/hyperlink" Target="https://www.microsoft.com/en-us/security/blog/2026/10/21/storm-0940-uses-artex-agentic-ai-connectwise-supply-chain-compromise/" TargetMode="External"/><Relationship Id="rId34" Type="http://schemas.openxmlformats.org/officeDocument/2006/relationships/hyperlink" Target="https://www.theregister.com/ai-and-ml/2026/10/23/red-team-report-found-openai-utterly-failed-to-monitor-its-agents-during-hugging-face-attack/5305200" TargetMode="External"/><Relationship Id="rId35" Type="http://schemas.openxmlformats.org/officeDocument/2006/relationships/hyperlink" Target="https://openai.com/index/hugging-face-model-evaluation-security-incident/" TargetMode="External"/><Relationship Id="rId36" Type="http://schemas.openxmlformats.org/officeDocument/2006/relationships/hyperlink" Target="https://research.checkpoint.com/2026/infostealer-riding-the-ai-train/" TargetMode="External"/><Relationship Id="rId37" Type="http://schemas.openxmlformats.org/officeDocument/2006/relationships/hyperlink" Target="https://www.crowdstrike.com/en-us/blog/unknown-threat-actor-uses-artex-to-target-south-korean-finance/" TargetMode="External"/><Relationship Id="rId38" Type="http://schemas.openxmlformats.org/officeDocument/2006/relationships/hyperlink" Target="https://www.crowdstrike.com/en-us/blog/unknown-threat-actor-uses-artex-to-target-south-korean-finance/" TargetMode="External"/><Relationship Id="rId39" Type="http://schemas.openxmlformats.org/officeDocument/2006/relationships/hyperlink" Target="https://www.itmedia.co.jp/enterprise/articles/2610/23/news010.html" TargetMode="External"/><Relationship Id="rId40" Type="http://schemas.openxmlformats.org/officeDocument/2006/relationships/hyperlink" Target="https://www.theregister.com/security/2026/10/22/microsoft-says-connectwise-breach-let-chinese-spies-loose-on-2250-cloud-tenants/5304687" TargetMode="External"/><Relationship Id="rId41" Type="http://schemas.openxmlformats.org/officeDocument/2006/relationships/hyperlink" Target="https://www.microsoft.com/en-us/security/blog/2026/10/21/storm-0940-uses-artex-agentic-ai-connectwise-supply-chain-compromise/" TargetMode="External"/><Relationship Id="rId42" Type="http://schemas.openxmlformats.org/officeDocument/2006/relationships/hyperlink" Target="https://www.infosecurity-magazine.com/news/microsoft-chinese-ai-connectwise/" TargetMode="External"/><Relationship Id="rId43" Type="http://schemas.openxmlformats.org/officeDocument/2006/relationships/hyperlink" Target="https://www.microsoft.com/en-us/security/blog/2026/10/21/storm-0940-uses-artex-agentic-ai-connectwise-supply-chain-compromise/" TargetMode="External"/><Relationship Id="rId44" Type="http://schemas.openxmlformats.org/officeDocument/2006/relationships/hyperlink" Target="https://www.itmedia.co.jp/enterprise/articles/2610/21/news070.html" TargetMode="External"/><Relationship Id="rId45" Type="http://schemas.openxmlformats.org/officeDocument/2006/relationships/hyperlink" Target="https://www.itmedia.co.jp/enterprise/articles/2610/15/news025.html" TargetMode="External"/><Relationship Id="rId46" Type="http://schemas.openxmlformats.org/officeDocument/2006/relationships/hyperlink" Target="https://www.zscaler.com/blogs/security-research/inside-global-ai-assisted-hacking-campaign" TargetMode="External"/><Relationship Id="rId47" Type="http://schemas.openxmlformats.org/officeDocument/2006/relationships/hyperlink" Target="https://www.crowdstrike.com/en-us/blog/unknown-threat-actor-uses-artex-to-target-south-korean-finance/" TargetMode="External"/><Relationship Id="rId48" Type="http://schemas.openxmlformats.org/officeDocument/2006/relationships/hyperlink" Target="https://www.infosecurity-magazine.com/news/symantec-ai-agent-llmjacking/" TargetMode="External"/><Relationship Id="rId49" Type="http://schemas.openxmlformats.org/officeDocument/2006/relationships/hyperlink" Target="https://www.security.com/threat-intelligence/ai-llmjacking-skynet" TargetMode="External"/><Relationship Id="rId50" Type="http://schemas.openxmlformats.org/officeDocument/2006/relationships/hyperlink" Target="https://www.wired.com/story/ai-guardrails-arent-stopping-criminal-hackers/" TargetMode="External"/><Relationship Id="rId51" Type="http://schemas.openxmlformats.org/officeDocument/2006/relationships/hyperlink" Target="https://www.cert-in.org.in/s2cMainServlet?pageid=PUBVLNOTES02&amp;VLCODE=CIAD-2026-0049" TargetMode="External"/><Relationship Id="rId52" Type="http://schemas.openxmlformats.org/officeDocument/2006/relationships/hyperlink" Target="https://securityaffairs.com/201130/ai" TargetMode="External"/><Relationship Id="rId53" Type="http://schemas.openxmlformats.org/officeDocument/2006/relationships/hyperlink" Target="https://www.texastribune.org/2026/09/14/texas-college-football-trademark-dan-patrick-campaigning/" TargetMode="External"/><Relationship Id="rId54" Type="http://schemas.openxmlformats.org/officeDocument/2006/relationships/hyperlink" Target="https://www.kut.org/politics/2026-09-21/vikki-goodwin-dan-patrick-ai-deepfake-campaign-ads-texas-lieutenant-governor-race" TargetMode="External"/><Relationship Id="rId55" Type="http://schemas.openxmlformats.org/officeDocument/2006/relationships/hyperlink" Target="https://www.cbsnews.com/pittsburgh/news/ai-political-ads-pennsylvania-governors-race-midterm-election/" TargetMode="External"/><Relationship Id="rId56" Type="http://schemas.openxmlformats.org/officeDocument/2006/relationships/hyperlink" Target="https://www.wiz.io/blog/from-phishing-to-llmjacking" TargetMode="External"/><Relationship Id="rId57" Type="http://schemas.openxmlformats.org/officeDocument/2006/relationships/hyperlink" Target="https://www.wiz.io/blog/from-phishing-to-llmjacking" TargetMode="External"/><Relationship Id="rId58" Type="http://schemas.openxmlformats.org/officeDocument/2006/relationships/hyperlink" Target="https://www.infosecurity-magazine.com/news/opencode-breach-openai-anthropic/" TargetMode="External"/><Relationship Id="rId59" Type="http://schemas.openxmlformats.org/officeDocument/2006/relationships/hyperlink" Target="https://www.wiz.io/blog/anatomy-of-ai-driven-cloud-attacks" TargetMode="External"/><Relationship Id="rId60" Type="http://schemas.openxmlformats.org/officeDocument/2006/relationships/hyperlink" Target="https://www.wiz.io/blog/anatomy-of-ai-driven-cloud-attacks" TargetMode="External"/><Relationship Id="rId61" Type="http://schemas.openxmlformats.org/officeDocument/2006/relationships/hyperlink" Target="https://www.reuters.com/legal/government/how-one-hacker-used-ai-agents-few-thousand-dollars-break-into-scores-sites-2026-10-19/" TargetMode="External"/><Relationship Id="rId62" Type="http://schemas.openxmlformats.org/officeDocument/2006/relationships/hyperlink" Target="https://www.securityweek.com/ai-platform-cairn-abused-to-hack-over-100-organizations/" TargetMode="External"/><Relationship Id="rId63" Type="http://schemas.openxmlformats.org/officeDocument/2006/relationships/hyperlink" Target="https://norforge.com/blog/inside_cairn" TargetMode="External"/><Relationship Id="rId64" Type="http://schemas.openxmlformats.org/officeDocument/2006/relationships/hyperlink" Target="https://www.securityweek.com/ai-platform-cairn-abused-to-hack-over-100-organizations/" TargetMode="External"/><Relationship Id="rId65" Type="http://schemas.openxmlformats.org/officeDocument/2006/relationships/hyperlink" Target="https://arstechnica.com/security/2026/10/openai-models-hacked-a-crypto-wallet-and-breached-more-websites/" TargetMode="External"/><Relationship Id="rId66" Type="http://schemas.openxmlformats.org/officeDocument/2006/relationships/hyperlink" Target="https://openai.com/index/hugging-face-model-evaluation-security-incident/" TargetMode="External"/><Relationship Id="rId67" Type="http://schemas.openxmlformats.org/officeDocument/2006/relationships/hyperlink" Target="https://www.recordedfuture.com/blog/tag-217-artex-south-korean-banks" TargetMode="External"/><Relationship Id="rId68" Type="http://schemas.openxmlformats.org/officeDocument/2006/relationships/hyperlink" Target="https://www.crowdstrike.com/en-us/blog/unknown-threat-actor-uses-artex-to-target-south-korean-finance/" TargetMode="External"/><Relationship Id="rId69" Type="http://schemas.openxmlformats.org/officeDocument/2006/relationships/hyperlink" Target="https://unit42.paloaltonetworks.com/ai-campaign-targets-linux-infrastructure/" TargetMode="External"/><Relationship Id="rId70" Type="http://schemas.openxmlformats.org/officeDocument/2006/relationships/hyperlink" Target="https://unit42.paloaltonetworks.com/ai-campaign-targets-linux-infrastructure/" TargetMode="External"/><Relationship Id="rId71" Type="http://schemas.openxmlformats.org/officeDocument/2006/relationships/hyperlink" Target="https://www.zscaler.com/blogs/security-research/threat-actor-abuses-agentic-ai-pentesting-framework-target-south-korean" TargetMode="External"/><Relationship Id="rId72" Type="http://schemas.openxmlformats.org/officeDocument/2006/relationships/hyperlink" Target="https://www.crowdstrike.com/en-us/blog/unknown-threat-actor-uses-artex-to-target-south-korean-finance/" TargetMode="External"/><Relationship Id="rId73" Type="http://schemas.openxmlformats.org/officeDocument/2006/relationships/hyperlink" Target="https://www.huntress.com/blog/what-does-the-future-hold-for-todays-cybersecurity-leaders" TargetMode="External"/><Relationship Id="rId74" Type="http://schemas.openxmlformats.org/officeDocument/2006/relationships/hyperlink" Target="https://openai.com/index/sentinelone" TargetMode="External"/><Relationship Id="rId75" Type="http://schemas.openxmlformats.org/officeDocument/2006/relationships/hyperlink" Target="https://www.huntress.com/blog/clickfix-bec-tragic-quadrant-doris" TargetMode="External"/><Relationship Id="rId76" Type="http://schemas.openxmlformats.org/officeDocument/2006/relationships/hyperlink" Target="https://www.infosecurity-magazine.com/news/asos-data-breach-stolen-employee/" TargetMode="External"/><Relationship Id="rId77" Type="http://schemas.openxmlformats.org/officeDocument/2006/relationships/hyperlink" Target="https://www.infosecurity-magazine.com/news/chinese-hacker-ai-korean-banks/" TargetMode="External"/><Relationship Id="rId78" Type="http://schemas.openxmlformats.org/officeDocument/2006/relationships/hyperlink" Target="https://www.crowdstrike.com/en-us/blog/unknown-threat-actor-uses-artex-to-target-south-korean-finance/" TargetMode="External"/><Relationship Id="rId79" Type="http://schemas.openxmlformats.org/officeDocument/2006/relationships/hyperlink" Target="https://blog.talosintelligence.com/uat-11985/" TargetMode="External"/><Relationship Id="rId80" Type="http://schemas.openxmlformats.org/officeDocument/2006/relationships/hyperlink" Target="https://blog.talosintelligence.com/uat-11985/" TargetMode="External"/><Relationship Id="rId81" Type="http://schemas.openxmlformats.org/officeDocument/2006/relationships/hyperlink" Target="https://webflow.sysdig.com/blog/ai-agent-exploits-zammad-zero-days-in-divd-breach-what-we-know-and-how-to-detect-it" TargetMode="External"/><Relationship Id="rId82" Type="http://schemas.openxmlformats.org/officeDocument/2006/relationships/hyperlink" Target="https://www.securityweek.com/zammad-zero-days-exploited-in-ai-powered-divd-hack/" TargetMode="External"/><Relationship Id="rId83" Type="http://schemas.openxmlformats.org/officeDocument/2006/relationships/hyperlink" Target="https://www.infosecurity-magazine.com/news/zerodays-dutch-institute/" TargetMode="External"/><Relationship Id="rId84" Type="http://schemas.openxmlformats.org/officeDocument/2006/relationships/hyperlink" Target="https://www.securityweek.com/zammad-zero-days-exploited-in-ai-powered-divd-hack/" TargetMode="External"/><Relationship Id="rId85" Type="http://schemas.openxmlformats.org/officeDocument/2006/relationships/hyperlink" Target="https://webflow.sysdig.com/blog/with-ai-agents-runtime-is-the-only-place-truth-lives" TargetMode="External"/><Relationship Id="rId86" Type="http://schemas.openxmlformats.org/officeDocument/2006/relationships/hyperlink" Target="https://www.infosecurity-magazine.com/news/chatgpt-feature-abuse-to-deliver/" TargetMode="External"/><Relationship Id="rId87" Type="http://schemas.openxmlformats.org/officeDocument/2006/relationships/hyperlink" Target="https://openai.com/index/disrupting-a-coordinated-model-distillation-campaign" TargetMode="External"/><Relationship Id="rId88" Type="http://schemas.openxmlformats.org/officeDocument/2006/relationships/hyperlink" Target="https://www.huntress.com/blog/chatgpt-custom-gpts-clickfix-rat" TargetMode="External"/><Relationship Id="rId89" Type="http://schemas.openxmlformats.org/officeDocument/2006/relationships/hyperlink" Target="https://www.elastic.co/security-labs/blog/phishing-incident-response-sublime-security" TargetMode="External"/><Relationship Id="rId90" Type="http://schemas.openxmlformats.org/officeDocument/2006/relationships/drawing" Target="../drawings/drawing1.xml"/><Relationship Id="rId91"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7.35" hidden="false" customHeight="false" outlineLevel="0" collapsed="false">
      <c r="A1" s="1" t="s">
        <v>0</v>
      </c>
    </row>
    <row r="3" customFormat="false" ht="15" hidden="false" customHeight="false" outlineLevel="0" collapsed="false">
      <c r="A3" s="0" t="s">
        <v>1</v>
      </c>
      <c r="B3" s="2" t="n">
        <v>10</v>
      </c>
    </row>
    <row r="5" customFormat="false" ht="21.75" hidden="false" customHeight="true" outlineLevel="0" collapsed="false">
      <c r="A5" s="3" t="s">
        <v>2</v>
      </c>
      <c r="B5" s="4" t="str">
        <f aca="false">IFERROR(INDEX('Feed sweep'!$B$2:$B$66,MATCH($B$3,'Feed sweep'!$A$2:$A$66,0)),"")</f>
        <v>2026-10-29</v>
      </c>
    </row>
    <row r="6" customFormat="false" ht="21.75" hidden="false" customHeight="true" outlineLevel="0" collapsed="false">
      <c r="A6" s="3" t="s">
        <v>3</v>
      </c>
      <c r="B6" s="4" t="str">
        <f aca="false">IFERROR(INDEX('Feed sweep'!$C$2:$C$66,MATCH($B$3,'Feed sweep'!$A$2:$A$66,0)),"")</f>
        <v>CrowdStrike</v>
      </c>
    </row>
    <row r="7" customFormat="false" ht="21.75" hidden="false" customHeight="true" outlineLevel="0" collapsed="false">
      <c r="A7" s="3" t="s">
        <v>4</v>
      </c>
      <c r="B7" s="5" t="str">
        <f aca="false">IFERROR(HYPERLINK(INDEX(Links!$B$2:$B$66,MATCH($B$3,Links!$A$2:$A$66,0)),INDEX('Feed sweep'!$D$2:$D$66,MATCH($B$3,'Feed sweep'!$A$2:$A$66,0))),"")</f>
        <v>VAPOR PANDA Uses AI-Driven ARTEX to Scale a Global Espionage Campaign</v>
      </c>
    </row>
    <row r="8" customFormat="false" ht="60" hidden="false" customHeight="true" outlineLevel="0" collapsed="false">
      <c r="A8" s="3" t="s">
        <v>5</v>
      </c>
      <c r="B8" s="4" t="str">
        <f aca="false">IFERROR(INDEX('Feed sweep'!$E$2:$E$66,MATCH($B$3,'Feed sweep'!$A$2:$A$66,0)),"")</f>
        <v>CrowdStrike reports that the China-nexus group VAPOR PANDA ran ARTEX AI agents (planner and worker agents) in a global espionage campaign from 17 Oct.</v>
      </c>
    </row>
    <row r="9" customFormat="false" ht="60" hidden="false" customHeight="true" outlineLevel="0" collapsed="false">
      <c r="A9" s="3" t="s">
        <v>6</v>
      </c>
      <c r="B9" s="4" t="str">
        <f aca="false">IFERROR(INDEX('Feed sweep'!$F$2:$F$66,MATCH($B$3,'Feed sweep'!$A$2:$A$66,0)),"")</f>
        <v>200+ organisations targeted in at least 14 countries; post-exploitation confirmed at 9.
Targets: foreign ministries, government, semiconductors, defence, nuclear, finance, telecoms.
Open-weight models named; single source so far. New log row.</v>
      </c>
    </row>
    <row r="10" customFormat="false" ht="21.75" hidden="false" customHeight="true" outlineLevel="0" collapsed="false">
      <c r="A10" s="3" t="s">
        <v>7</v>
      </c>
      <c r="B10" s="4" t="str">
        <f aca="false">IFERROR(INDEX('Feed sweep'!$G$2:$G$66,MATCH($B$3,'Feed sweep'!$A$2:$A$66,0)),"")</f>
        <v>logged</v>
      </c>
    </row>
    <row r="11" customFormat="false" ht="60" hidden="false" customHeight="true" outlineLevel="0" collapsed="false">
      <c r="A11" s="3" t="s">
        <v>8</v>
      </c>
      <c r="B11" s="4" t="str">
        <f aca="false">IFERROR(INDEX('Feed sweep'!$H$2:$H$66,MATCH($B$3,'Feed sweep'!$A$2:$A$66,0)),"")</f>
        <v>VAPOR PANDA (CrowdStrike); new log row; single source, large scale</v>
      </c>
    </row>
    <row r="12" customFormat="false" ht="21.75" hidden="false" customHeight="true" outlineLevel="0" collapsed="false">
      <c r="A12" s="3" t="s">
        <v>9</v>
      </c>
      <c r="B12" s="5" t="str">
        <f aca="false">IFERROR(IF(INDEX('Feed sweep'!$I$2:$I$66,MATCH($B$3,'Feed sweep'!$A$2:$A$66,0))="","(none)",HYPERLINK(INDEX('Feed sweep'!$I$2:$I$66,MATCH($B$3,'Feed sweep'!$A$2:$A$66,0)),INDEX('Feed sweep'!$I$2:$I$66,MATCH($B$3,'Feed sweep'!$A$2:$A$66,0)))),"")</f>
        <v>https://www.crowdstrike.com/en-us/blog/vapor-panda-uses-artex-to-scale-global-campaign/</v>
      </c>
    </row>
    <row r="13" customFormat="false" ht="21.75" hidden="false" customHeight="true" outlineLevel="0" collapsed="false">
      <c r="A13" s="3" t="s">
        <v>10</v>
      </c>
      <c r="B13" s="4" t="str">
        <f aca="false">IFERROR(INDEX('Feed sweep'!$J$2:$J$66,MATCH($B$3,'Feed sweep'!$A$2:$A$66,0)),"")</f>
        <v>Report read by Claude</v>
      </c>
    </row>
    <row r="16" customFormat="false" ht="15" hidden="false" customHeight="false" outlineLevel="0" collapsed="false">
      <c r="A16" s="3" t="s">
        <v>11</v>
      </c>
    </row>
    <row r="17" customFormat="false" ht="30" hidden="false" customHeight="true" outlineLevel="0" collapsed="false">
      <c r="B17" s="6" t="s">
        <v>12</v>
      </c>
    </row>
    <row r="18" customFormat="false" ht="30" hidden="false" customHeight="true" outlineLevel="0" collapsed="false">
      <c r="B18" s="6" t="s">
        <v>13</v>
      </c>
    </row>
    <row r="19" customFormat="false" ht="30" hidden="false" customHeight="true" outlineLevel="0" collapsed="false">
      <c r="B19" s="6" t="s">
        <v>14</v>
      </c>
    </row>
    <row r="20" customFormat="false" ht="30" hidden="false" customHeight="true" outlineLevel="0" collapsed="false">
      <c r="B20" s="6" t="s">
        <v>15</v>
      </c>
    </row>
    <row r="21" customFormat="false" ht="30" hidden="false" customHeight="true" outlineLevel="0" collapsed="false">
      <c r="B21" s="6" t="s">
        <v>16</v>
      </c>
    </row>
    <row r="22" customFormat="false" ht="30" hidden="false" customHeight="true" outlineLevel="0" collapsed="false">
      <c r="B22" s="6" t="s">
        <v>17</v>
      </c>
    </row>
  </sheetData>
  <dataValidations count="1">
    <dataValidation allowBlank="false" errorStyle="stop" operator="between" prompt="Type an item number from the # column of the Feed sweep tab (0 to 64)." promptTitle="Pick an item" showDropDown="false" showErrorMessage="false" showInputMessage="true" sqref="B3" type="whole">
      <formula1>0</formula1>
      <formula2>64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20"/>
    <col collapsed="false" customWidth="true" hidden="false" outlineLevel="0" max="4" min="4" style="0" width="48"/>
    <col collapsed="false" customWidth="true" hidden="false" outlineLevel="0" max="5" min="5" style="0" width="55"/>
    <col collapsed="false" customWidth="true" hidden="false" outlineLevel="0" max="6" min="6" style="0" width="60"/>
    <col collapsed="false" customWidth="true" hidden="false" outlineLevel="0" max="7" min="7" style="0" width="14"/>
    <col collapsed="false" customWidth="true" hidden="false" outlineLevel="0" max="8" min="8" style="0" width="45"/>
    <col collapsed="false" customWidth="true" hidden="false" outlineLevel="0" max="9" min="9" style="0" width="34"/>
    <col collapsed="false" customWidth="true" hidden="false" outlineLevel="0" max="10" min="10" style="0" width="20"/>
    <col collapsed="false" customWidth="true" hidden="false" outlineLevel="0" max="12" min="11" style="0" width="12"/>
  </cols>
  <sheetData>
    <row r="1" customFormat="false" ht="26.85" hidden="false" customHeight="false" outlineLevel="0" collapsed="false">
      <c r="A1" s="7" t="s">
        <v>18</v>
      </c>
      <c r="B1" s="7" t="s">
        <v>2</v>
      </c>
      <c r="C1" s="7" t="s">
        <v>3</v>
      </c>
      <c r="D1" s="7" t="s">
        <v>19</v>
      </c>
      <c r="E1" s="7" t="s">
        <v>5</v>
      </c>
      <c r="F1" s="7" t="s">
        <v>6</v>
      </c>
      <c r="G1" s="7" t="s">
        <v>7</v>
      </c>
      <c r="H1" s="7" t="s">
        <v>8</v>
      </c>
      <c r="I1" s="7" t="s">
        <v>9</v>
      </c>
      <c r="J1" s="7" t="s">
        <v>10</v>
      </c>
      <c r="K1" s="7" t="s">
        <v>20</v>
      </c>
      <c r="L1" s="7" t="s">
        <v>21</v>
      </c>
    </row>
    <row r="2" customFormat="false" ht="75" hidden="false" customHeight="true" outlineLevel="0" collapsed="false">
      <c r="A2" s="8" t="n">
        <v>0</v>
      </c>
      <c r="B2" s="8" t="s">
        <v>22</v>
      </c>
      <c r="C2" s="8" t="s">
        <v>23</v>
      </c>
      <c r="D2" s="9" t="s">
        <v>24</v>
      </c>
      <c r="E2" s="8" t="s">
        <v>25</v>
      </c>
      <c r="F2" s="8" t="s">
        <v>26</v>
      </c>
      <c r="G2" s="8" t="s">
        <v>27</v>
      </c>
      <c r="H2" s="8" t="s">
        <v>28</v>
      </c>
      <c r="I2" s="8"/>
      <c r="J2" s="8" t="s">
        <v>29</v>
      </c>
      <c r="K2" s="8" t="s">
        <v>30</v>
      </c>
      <c r="L2" s="8" t="s">
        <v>31</v>
      </c>
    </row>
    <row r="3" customFormat="false" ht="75" hidden="false" customHeight="true" outlineLevel="0" collapsed="false">
      <c r="A3" s="8" t="n">
        <v>1</v>
      </c>
      <c r="B3" s="8" t="s">
        <v>32</v>
      </c>
      <c r="C3" s="8" t="s">
        <v>33</v>
      </c>
      <c r="D3" s="9" t="s">
        <v>34</v>
      </c>
      <c r="E3" s="8" t="s">
        <v>35</v>
      </c>
      <c r="F3" s="8" t="s">
        <v>36</v>
      </c>
      <c r="G3" s="8" t="s">
        <v>27</v>
      </c>
      <c r="H3" s="8" t="s">
        <v>37</v>
      </c>
      <c r="I3" s="8"/>
      <c r="J3" s="8" t="s">
        <v>29</v>
      </c>
      <c r="K3" s="8" t="s">
        <v>38</v>
      </c>
      <c r="L3" s="8" t="s">
        <v>39</v>
      </c>
    </row>
    <row r="4" customFormat="false" ht="75" hidden="false" customHeight="true" outlineLevel="0" collapsed="false">
      <c r="A4" s="8" t="n">
        <v>2</v>
      </c>
      <c r="B4" s="8" t="s">
        <v>32</v>
      </c>
      <c r="C4" s="8" t="s">
        <v>40</v>
      </c>
      <c r="D4" s="9" t="s">
        <v>41</v>
      </c>
      <c r="E4" s="8" t="s">
        <v>42</v>
      </c>
      <c r="F4" s="8" t="s">
        <v>26</v>
      </c>
      <c r="G4" s="8" t="s">
        <v>27</v>
      </c>
      <c r="H4" s="8" t="s">
        <v>28</v>
      </c>
      <c r="I4" s="8"/>
      <c r="J4" s="8" t="s">
        <v>29</v>
      </c>
      <c r="K4" s="8" t="s">
        <v>38</v>
      </c>
      <c r="L4" s="8" t="s">
        <v>43</v>
      </c>
    </row>
    <row r="5" customFormat="false" ht="75" hidden="false" customHeight="true" outlineLevel="0" collapsed="false">
      <c r="A5" s="8" t="n">
        <v>3</v>
      </c>
      <c r="B5" s="8" t="s">
        <v>32</v>
      </c>
      <c r="C5" s="8" t="s">
        <v>40</v>
      </c>
      <c r="D5" s="9" t="s">
        <v>44</v>
      </c>
      <c r="E5" s="8" t="s">
        <v>45</v>
      </c>
      <c r="F5" s="8" t="s">
        <v>36</v>
      </c>
      <c r="G5" s="8" t="s">
        <v>27</v>
      </c>
      <c r="H5" s="8" t="s">
        <v>37</v>
      </c>
      <c r="I5" s="8"/>
      <c r="J5" s="8" t="s">
        <v>29</v>
      </c>
      <c r="K5" s="8" t="s">
        <v>46</v>
      </c>
      <c r="L5" s="8" t="s">
        <v>47</v>
      </c>
    </row>
    <row r="6" customFormat="false" ht="75" hidden="false" customHeight="true" outlineLevel="0" collapsed="false">
      <c r="A6" s="8" t="n">
        <v>4</v>
      </c>
      <c r="B6" s="8" t="s">
        <v>32</v>
      </c>
      <c r="C6" s="8" t="s">
        <v>48</v>
      </c>
      <c r="D6" s="9" t="s">
        <v>49</v>
      </c>
      <c r="E6" s="8" t="s">
        <v>50</v>
      </c>
      <c r="F6" s="8" t="s">
        <v>51</v>
      </c>
      <c r="G6" s="8" t="s">
        <v>52</v>
      </c>
      <c r="H6" s="8" t="s">
        <v>53</v>
      </c>
      <c r="I6" s="8"/>
      <c r="J6" s="8" t="s">
        <v>29</v>
      </c>
      <c r="K6" s="8" t="s">
        <v>54</v>
      </c>
      <c r="L6" s="8" t="s">
        <v>55</v>
      </c>
    </row>
    <row r="7" customFormat="false" ht="75" hidden="false" customHeight="true" outlineLevel="0" collapsed="false">
      <c r="A7" s="8" t="n">
        <v>5</v>
      </c>
      <c r="B7" s="8" t="s">
        <v>32</v>
      </c>
      <c r="C7" s="8" t="s">
        <v>56</v>
      </c>
      <c r="D7" s="9" t="s">
        <v>57</v>
      </c>
      <c r="E7" s="8" t="s">
        <v>58</v>
      </c>
      <c r="F7" s="8" t="s">
        <v>36</v>
      </c>
      <c r="G7" s="8" t="s">
        <v>27</v>
      </c>
      <c r="H7" s="8" t="s">
        <v>37</v>
      </c>
      <c r="I7" s="8"/>
      <c r="J7" s="8" t="s">
        <v>29</v>
      </c>
      <c r="K7" s="8" t="s">
        <v>46</v>
      </c>
      <c r="L7" s="8" t="s">
        <v>59</v>
      </c>
    </row>
    <row r="8" customFormat="false" ht="75" hidden="false" customHeight="true" outlineLevel="0" collapsed="false">
      <c r="A8" s="8" t="n">
        <v>6</v>
      </c>
      <c r="B8" s="8" t="s">
        <v>32</v>
      </c>
      <c r="C8" s="8" t="s">
        <v>56</v>
      </c>
      <c r="D8" s="9" t="s">
        <v>60</v>
      </c>
      <c r="E8" s="8" t="s">
        <v>61</v>
      </c>
      <c r="F8" s="8" t="s">
        <v>62</v>
      </c>
      <c r="G8" s="8" t="s">
        <v>27</v>
      </c>
      <c r="H8" s="8" t="s">
        <v>63</v>
      </c>
      <c r="I8" s="8"/>
      <c r="J8" s="8" t="s">
        <v>29</v>
      </c>
      <c r="K8" s="8" t="s">
        <v>64</v>
      </c>
      <c r="L8" s="8" t="s">
        <v>65</v>
      </c>
    </row>
    <row r="9" customFormat="false" ht="75" hidden="false" customHeight="true" outlineLevel="0" collapsed="false">
      <c r="A9" s="8" t="n">
        <v>7</v>
      </c>
      <c r="B9" s="8" t="s">
        <v>32</v>
      </c>
      <c r="C9" s="8" t="s">
        <v>66</v>
      </c>
      <c r="D9" s="9" t="s">
        <v>67</v>
      </c>
      <c r="E9" s="8" t="s">
        <v>68</v>
      </c>
      <c r="F9" s="8" t="s">
        <v>69</v>
      </c>
      <c r="G9" s="8" t="s">
        <v>27</v>
      </c>
      <c r="H9" s="8" t="s">
        <v>70</v>
      </c>
      <c r="I9" s="8"/>
      <c r="J9" s="8" t="s">
        <v>29</v>
      </c>
      <c r="K9" s="8" t="s">
        <v>71</v>
      </c>
      <c r="L9" s="8" t="s">
        <v>72</v>
      </c>
    </row>
    <row r="10" customFormat="false" ht="75" hidden="false" customHeight="true" outlineLevel="0" collapsed="false">
      <c r="A10" s="8" t="n">
        <v>8</v>
      </c>
      <c r="B10" s="8" t="s">
        <v>32</v>
      </c>
      <c r="C10" s="8" t="s">
        <v>73</v>
      </c>
      <c r="D10" s="9" t="s">
        <v>74</v>
      </c>
      <c r="E10" s="8" t="s">
        <v>75</v>
      </c>
      <c r="F10" s="8" t="s">
        <v>26</v>
      </c>
      <c r="G10" s="8" t="s">
        <v>27</v>
      </c>
      <c r="H10" s="8" t="s">
        <v>28</v>
      </c>
      <c r="I10" s="8"/>
      <c r="J10" s="8" t="s">
        <v>29</v>
      </c>
      <c r="K10" s="8" t="s">
        <v>30</v>
      </c>
      <c r="L10" s="8" t="s">
        <v>72</v>
      </c>
    </row>
    <row r="11" customFormat="false" ht="75" hidden="false" customHeight="true" outlineLevel="0" collapsed="false">
      <c r="A11" s="8" t="n">
        <v>9</v>
      </c>
      <c r="B11" s="8" t="s">
        <v>32</v>
      </c>
      <c r="C11" s="8" t="s">
        <v>23</v>
      </c>
      <c r="D11" s="9" t="s">
        <v>76</v>
      </c>
      <c r="E11" s="8" t="s">
        <v>77</v>
      </c>
      <c r="F11" s="8" t="s">
        <v>26</v>
      </c>
      <c r="G11" s="8" t="s">
        <v>27</v>
      </c>
      <c r="H11" s="8" t="s">
        <v>28</v>
      </c>
      <c r="I11" s="8"/>
      <c r="J11" s="8" t="s">
        <v>29</v>
      </c>
      <c r="K11" s="8" t="s">
        <v>30</v>
      </c>
      <c r="L11" s="8" t="s">
        <v>72</v>
      </c>
    </row>
    <row r="12" customFormat="false" ht="75" hidden="false" customHeight="true" outlineLevel="0" collapsed="false">
      <c r="A12" s="8" t="n">
        <v>10</v>
      </c>
      <c r="B12" s="8" t="s">
        <v>32</v>
      </c>
      <c r="C12" s="8" t="s">
        <v>78</v>
      </c>
      <c r="D12" s="9" t="s">
        <v>79</v>
      </c>
      <c r="E12" s="8" t="s">
        <v>80</v>
      </c>
      <c r="F12" s="8" t="s">
        <v>81</v>
      </c>
      <c r="G12" s="8" t="s">
        <v>82</v>
      </c>
      <c r="H12" s="8" t="s">
        <v>83</v>
      </c>
      <c r="I12" s="9" t="s">
        <v>84</v>
      </c>
      <c r="J12" s="8" t="s">
        <v>85</v>
      </c>
      <c r="K12" s="8" t="s">
        <v>86</v>
      </c>
      <c r="L12" s="8" t="s">
        <v>87</v>
      </c>
    </row>
    <row r="13" customFormat="false" ht="75" hidden="false" customHeight="true" outlineLevel="0" collapsed="false">
      <c r="A13" s="8" t="n">
        <v>11</v>
      </c>
      <c r="B13" s="8" t="s">
        <v>32</v>
      </c>
      <c r="C13" s="8" t="s">
        <v>88</v>
      </c>
      <c r="D13" s="9" t="s">
        <v>89</v>
      </c>
      <c r="E13" s="8" t="s">
        <v>90</v>
      </c>
      <c r="F13" s="8" t="s">
        <v>91</v>
      </c>
      <c r="G13" s="8" t="s">
        <v>27</v>
      </c>
      <c r="H13" s="8" t="s">
        <v>92</v>
      </c>
      <c r="I13" s="8"/>
      <c r="J13" s="8" t="s">
        <v>29</v>
      </c>
      <c r="K13" s="8" t="s">
        <v>93</v>
      </c>
      <c r="L13" s="8" t="s">
        <v>47</v>
      </c>
    </row>
    <row r="14" customFormat="false" ht="75" hidden="false" customHeight="true" outlineLevel="0" collapsed="false">
      <c r="A14" s="8" t="n">
        <v>12</v>
      </c>
      <c r="B14" s="8" t="s">
        <v>94</v>
      </c>
      <c r="C14" s="8" t="s">
        <v>95</v>
      </c>
      <c r="D14" s="9" t="s">
        <v>96</v>
      </c>
      <c r="E14" s="8" t="s">
        <v>97</v>
      </c>
      <c r="F14" s="8" t="s">
        <v>98</v>
      </c>
      <c r="G14" s="8" t="s">
        <v>27</v>
      </c>
      <c r="H14" s="8" t="s">
        <v>99</v>
      </c>
      <c r="I14" s="8"/>
      <c r="J14" s="8" t="s">
        <v>29</v>
      </c>
      <c r="K14" s="8" t="s">
        <v>100</v>
      </c>
      <c r="L14" s="8" t="s">
        <v>101</v>
      </c>
    </row>
    <row r="15" customFormat="false" ht="75" hidden="false" customHeight="true" outlineLevel="0" collapsed="false">
      <c r="A15" s="8" t="n">
        <v>13</v>
      </c>
      <c r="B15" s="8" t="s">
        <v>94</v>
      </c>
      <c r="C15" s="8" t="s">
        <v>73</v>
      </c>
      <c r="D15" s="9" t="s">
        <v>102</v>
      </c>
      <c r="E15" s="8" t="s">
        <v>103</v>
      </c>
      <c r="F15" s="8" t="s">
        <v>26</v>
      </c>
      <c r="G15" s="8" t="s">
        <v>27</v>
      </c>
      <c r="H15" s="8" t="s">
        <v>28</v>
      </c>
      <c r="I15" s="8"/>
      <c r="J15" s="8" t="s">
        <v>29</v>
      </c>
      <c r="K15" s="8" t="s">
        <v>30</v>
      </c>
      <c r="L15" s="8" t="s">
        <v>72</v>
      </c>
    </row>
    <row r="16" customFormat="false" ht="75" hidden="false" customHeight="true" outlineLevel="0" collapsed="false">
      <c r="A16" s="8" t="n">
        <v>14</v>
      </c>
      <c r="B16" s="8" t="s">
        <v>94</v>
      </c>
      <c r="C16" s="8" t="s">
        <v>48</v>
      </c>
      <c r="D16" s="9" t="s">
        <v>104</v>
      </c>
      <c r="E16" s="8" t="s">
        <v>105</v>
      </c>
      <c r="F16" s="8" t="s">
        <v>36</v>
      </c>
      <c r="G16" s="8" t="s">
        <v>27</v>
      </c>
      <c r="H16" s="8" t="s">
        <v>37</v>
      </c>
      <c r="I16" s="8"/>
      <c r="J16" s="8" t="s">
        <v>29</v>
      </c>
      <c r="K16" s="8" t="s">
        <v>46</v>
      </c>
      <c r="L16" s="8" t="s">
        <v>55</v>
      </c>
    </row>
    <row r="17" customFormat="false" ht="75" hidden="false" customHeight="true" outlineLevel="0" collapsed="false">
      <c r="A17" s="8" t="n">
        <v>15</v>
      </c>
      <c r="B17" s="8" t="s">
        <v>94</v>
      </c>
      <c r="C17" s="8" t="s">
        <v>33</v>
      </c>
      <c r="D17" s="9" t="s">
        <v>106</v>
      </c>
      <c r="E17" s="8" t="s">
        <v>107</v>
      </c>
      <c r="F17" s="8" t="s">
        <v>108</v>
      </c>
      <c r="G17" s="8" t="s">
        <v>27</v>
      </c>
      <c r="H17" s="8" t="s">
        <v>109</v>
      </c>
      <c r="I17" s="8"/>
      <c r="J17" s="8" t="s">
        <v>29</v>
      </c>
      <c r="K17" s="8" t="s">
        <v>54</v>
      </c>
      <c r="L17" s="8" t="s">
        <v>110</v>
      </c>
    </row>
    <row r="18" customFormat="false" ht="75" hidden="false" customHeight="true" outlineLevel="0" collapsed="false">
      <c r="A18" s="8" t="n">
        <v>16</v>
      </c>
      <c r="B18" s="8" t="s">
        <v>94</v>
      </c>
      <c r="C18" s="8" t="s">
        <v>23</v>
      </c>
      <c r="D18" s="9" t="s">
        <v>111</v>
      </c>
      <c r="E18" s="8" t="s">
        <v>112</v>
      </c>
      <c r="F18" s="8" t="s">
        <v>113</v>
      </c>
      <c r="G18" s="8" t="s">
        <v>27</v>
      </c>
      <c r="H18" s="8" t="s">
        <v>114</v>
      </c>
      <c r="I18" s="8"/>
      <c r="J18" s="8" t="s">
        <v>29</v>
      </c>
      <c r="K18" s="8" t="s">
        <v>71</v>
      </c>
      <c r="L18" s="8" t="s">
        <v>115</v>
      </c>
    </row>
    <row r="19" customFormat="false" ht="75" hidden="false" customHeight="true" outlineLevel="0" collapsed="false">
      <c r="A19" s="8" t="n">
        <v>17</v>
      </c>
      <c r="B19" s="8" t="s">
        <v>94</v>
      </c>
      <c r="C19" s="8" t="s">
        <v>116</v>
      </c>
      <c r="D19" s="9" t="s">
        <v>117</v>
      </c>
      <c r="E19" s="8" t="s">
        <v>118</v>
      </c>
      <c r="F19" s="8" t="s">
        <v>119</v>
      </c>
      <c r="G19" s="8" t="s">
        <v>52</v>
      </c>
      <c r="H19" s="8" t="s">
        <v>120</v>
      </c>
      <c r="I19" s="8"/>
      <c r="J19" s="8" t="s">
        <v>85</v>
      </c>
      <c r="K19" s="8" t="s">
        <v>121</v>
      </c>
      <c r="L19" s="8" t="s">
        <v>122</v>
      </c>
    </row>
    <row r="20" customFormat="false" ht="75" hidden="false" customHeight="true" outlineLevel="0" collapsed="false">
      <c r="A20" s="8" t="n">
        <v>18</v>
      </c>
      <c r="B20" s="8" t="s">
        <v>94</v>
      </c>
      <c r="C20" s="8" t="s">
        <v>40</v>
      </c>
      <c r="D20" s="9" t="s">
        <v>123</v>
      </c>
      <c r="E20" s="8" t="s">
        <v>124</v>
      </c>
      <c r="F20" s="8" t="s">
        <v>125</v>
      </c>
      <c r="G20" s="8" t="s">
        <v>27</v>
      </c>
      <c r="H20" s="8" t="s">
        <v>99</v>
      </c>
      <c r="I20" s="8"/>
      <c r="J20" s="8" t="s">
        <v>29</v>
      </c>
      <c r="K20" s="8" t="s">
        <v>38</v>
      </c>
      <c r="L20" s="8" t="s">
        <v>126</v>
      </c>
    </row>
    <row r="21" customFormat="false" ht="75" hidden="false" customHeight="true" outlineLevel="0" collapsed="false">
      <c r="A21" s="8" t="n">
        <v>19</v>
      </c>
      <c r="B21" s="8" t="s">
        <v>94</v>
      </c>
      <c r="C21" s="8" t="s">
        <v>66</v>
      </c>
      <c r="D21" s="9" t="s">
        <v>127</v>
      </c>
      <c r="E21" s="8" t="s">
        <v>128</v>
      </c>
      <c r="F21" s="8" t="s">
        <v>69</v>
      </c>
      <c r="G21" s="8" t="s">
        <v>27</v>
      </c>
      <c r="H21" s="8" t="s">
        <v>70</v>
      </c>
      <c r="I21" s="8"/>
      <c r="J21" s="8" t="s">
        <v>29</v>
      </c>
      <c r="K21" s="8" t="s">
        <v>30</v>
      </c>
      <c r="L21" s="8" t="s">
        <v>72</v>
      </c>
    </row>
    <row r="22" customFormat="false" ht="75" hidden="false" customHeight="true" outlineLevel="0" collapsed="false">
      <c r="A22" s="8" t="n">
        <v>20</v>
      </c>
      <c r="B22" s="8" t="s">
        <v>129</v>
      </c>
      <c r="C22" s="8" t="s">
        <v>66</v>
      </c>
      <c r="D22" s="9" t="s">
        <v>130</v>
      </c>
      <c r="E22" s="8" t="s">
        <v>131</v>
      </c>
      <c r="F22" s="8" t="s">
        <v>26</v>
      </c>
      <c r="G22" s="8" t="s">
        <v>27</v>
      </c>
      <c r="H22" s="8" t="s">
        <v>28</v>
      </c>
      <c r="I22" s="8"/>
      <c r="J22" s="8" t="s">
        <v>29</v>
      </c>
      <c r="K22" s="8" t="s">
        <v>30</v>
      </c>
      <c r="L22" s="8" t="s">
        <v>132</v>
      </c>
    </row>
    <row r="23" customFormat="false" ht="75" hidden="false" customHeight="true" outlineLevel="0" collapsed="false">
      <c r="A23" s="8" t="n">
        <v>21</v>
      </c>
      <c r="B23" s="8" t="s">
        <v>129</v>
      </c>
      <c r="C23" s="8" t="s">
        <v>133</v>
      </c>
      <c r="D23" s="9" t="s">
        <v>134</v>
      </c>
      <c r="E23" s="8" t="s">
        <v>135</v>
      </c>
      <c r="F23" s="8" t="s">
        <v>36</v>
      </c>
      <c r="G23" s="8" t="s">
        <v>27</v>
      </c>
      <c r="H23" s="8" t="s">
        <v>37</v>
      </c>
      <c r="I23" s="8"/>
      <c r="J23" s="8" t="s">
        <v>29</v>
      </c>
      <c r="K23" s="8" t="s">
        <v>46</v>
      </c>
      <c r="L23" s="8" t="s">
        <v>47</v>
      </c>
    </row>
    <row r="24" customFormat="false" ht="75" hidden="false" customHeight="true" outlineLevel="0" collapsed="false">
      <c r="A24" s="8" t="n">
        <v>22</v>
      </c>
      <c r="B24" s="8" t="s">
        <v>129</v>
      </c>
      <c r="C24" s="8" t="s">
        <v>40</v>
      </c>
      <c r="D24" s="9" t="s">
        <v>136</v>
      </c>
      <c r="E24" s="8" t="s">
        <v>137</v>
      </c>
      <c r="F24" s="8" t="s">
        <v>138</v>
      </c>
      <c r="G24" s="8" t="s">
        <v>27</v>
      </c>
      <c r="H24" s="8" t="s">
        <v>139</v>
      </c>
      <c r="I24" s="8"/>
      <c r="J24" s="8" t="s">
        <v>85</v>
      </c>
      <c r="K24" s="8" t="s">
        <v>140</v>
      </c>
      <c r="L24" s="8" t="s">
        <v>141</v>
      </c>
    </row>
    <row r="25" customFormat="false" ht="75" hidden="false" customHeight="true" outlineLevel="0" collapsed="false">
      <c r="A25" s="8" t="n">
        <v>23</v>
      </c>
      <c r="B25" s="8" t="s">
        <v>129</v>
      </c>
      <c r="C25" s="8" t="s">
        <v>23</v>
      </c>
      <c r="D25" s="9" t="s">
        <v>142</v>
      </c>
      <c r="E25" s="8" t="s">
        <v>143</v>
      </c>
      <c r="F25" s="8" t="s">
        <v>26</v>
      </c>
      <c r="G25" s="8" t="s">
        <v>27</v>
      </c>
      <c r="H25" s="8" t="s">
        <v>28</v>
      </c>
      <c r="I25" s="8"/>
      <c r="J25" s="8" t="s">
        <v>29</v>
      </c>
      <c r="K25" s="8" t="s">
        <v>30</v>
      </c>
      <c r="L25" s="8" t="s">
        <v>72</v>
      </c>
    </row>
    <row r="26" customFormat="false" ht="75" hidden="false" customHeight="true" outlineLevel="0" collapsed="false">
      <c r="A26" s="8" t="n">
        <v>24</v>
      </c>
      <c r="B26" s="8" t="s">
        <v>144</v>
      </c>
      <c r="C26" s="8" t="s">
        <v>33</v>
      </c>
      <c r="D26" s="9" t="s">
        <v>145</v>
      </c>
      <c r="E26" s="8" t="s">
        <v>146</v>
      </c>
      <c r="F26" s="8" t="s">
        <v>147</v>
      </c>
      <c r="G26" s="8" t="s">
        <v>52</v>
      </c>
      <c r="H26" s="8" t="s">
        <v>148</v>
      </c>
      <c r="I26" s="8"/>
      <c r="J26" s="8" t="s">
        <v>85</v>
      </c>
      <c r="K26" s="8" t="s">
        <v>149</v>
      </c>
      <c r="L26" s="8" t="s">
        <v>150</v>
      </c>
    </row>
    <row r="27" customFormat="false" ht="75" hidden="false" customHeight="true" outlineLevel="0" collapsed="false">
      <c r="A27" s="8" t="n">
        <v>25</v>
      </c>
      <c r="B27" s="8" t="s">
        <v>144</v>
      </c>
      <c r="C27" s="8" t="s">
        <v>151</v>
      </c>
      <c r="D27" s="9" t="s">
        <v>152</v>
      </c>
      <c r="E27" s="8" t="s">
        <v>153</v>
      </c>
      <c r="F27" s="8" t="s">
        <v>154</v>
      </c>
      <c r="G27" s="8" t="s">
        <v>82</v>
      </c>
      <c r="H27" s="8" t="s">
        <v>155</v>
      </c>
      <c r="I27" s="9" t="s">
        <v>156</v>
      </c>
      <c r="J27" s="8" t="s">
        <v>85</v>
      </c>
      <c r="K27" s="8" t="s">
        <v>157</v>
      </c>
      <c r="L27" s="8" t="s">
        <v>150</v>
      </c>
    </row>
    <row r="28" customFormat="false" ht="75" hidden="false" customHeight="true" outlineLevel="0" collapsed="false">
      <c r="A28" s="8" t="n">
        <v>26</v>
      </c>
      <c r="B28" s="8" t="s">
        <v>158</v>
      </c>
      <c r="C28" s="8" t="s">
        <v>88</v>
      </c>
      <c r="D28" s="9" t="s">
        <v>159</v>
      </c>
      <c r="E28" s="8" t="s">
        <v>160</v>
      </c>
      <c r="F28" s="8" t="s">
        <v>161</v>
      </c>
      <c r="G28" s="8" t="s">
        <v>82</v>
      </c>
      <c r="H28" s="8" t="s">
        <v>162</v>
      </c>
      <c r="I28" s="9" t="s">
        <v>156</v>
      </c>
      <c r="J28" s="8" t="s">
        <v>85</v>
      </c>
      <c r="K28" s="8" t="s">
        <v>163</v>
      </c>
      <c r="L28" s="8" t="s">
        <v>47</v>
      </c>
    </row>
    <row r="29" customFormat="false" ht="75" hidden="false" customHeight="true" outlineLevel="0" collapsed="false">
      <c r="A29" s="8" t="n">
        <v>27</v>
      </c>
      <c r="B29" s="8" t="s">
        <v>158</v>
      </c>
      <c r="C29" s="8" t="s">
        <v>88</v>
      </c>
      <c r="D29" s="9" t="s">
        <v>164</v>
      </c>
      <c r="E29" s="8" t="s">
        <v>160</v>
      </c>
      <c r="F29" s="8" t="s">
        <v>161</v>
      </c>
      <c r="G29" s="8" t="s">
        <v>82</v>
      </c>
      <c r="H29" s="8" t="s">
        <v>162</v>
      </c>
      <c r="I29" s="9" t="s">
        <v>156</v>
      </c>
      <c r="J29" s="8" t="s">
        <v>85</v>
      </c>
      <c r="K29" s="8" t="s">
        <v>163</v>
      </c>
      <c r="L29" s="8" t="s">
        <v>165</v>
      </c>
    </row>
    <row r="30" customFormat="false" ht="75" hidden="false" customHeight="true" outlineLevel="0" collapsed="false">
      <c r="A30" s="8" t="n">
        <v>28</v>
      </c>
      <c r="B30" s="8" t="s">
        <v>166</v>
      </c>
      <c r="C30" s="8" t="s">
        <v>116</v>
      </c>
      <c r="D30" s="9" t="s">
        <v>167</v>
      </c>
      <c r="E30" s="8" t="s">
        <v>168</v>
      </c>
      <c r="F30" s="8" t="s">
        <v>169</v>
      </c>
      <c r="G30" s="8" t="s">
        <v>170</v>
      </c>
      <c r="H30" s="8" t="s">
        <v>171</v>
      </c>
      <c r="I30" s="9" t="s">
        <v>172</v>
      </c>
      <c r="J30" s="8" t="s">
        <v>29</v>
      </c>
      <c r="K30" s="8" t="s">
        <v>54</v>
      </c>
      <c r="L30" s="8" t="s">
        <v>126</v>
      </c>
    </row>
    <row r="31" customFormat="false" ht="75" hidden="false" customHeight="true" outlineLevel="0" collapsed="false">
      <c r="A31" s="8" t="n">
        <v>29</v>
      </c>
      <c r="B31" s="8" t="s">
        <v>166</v>
      </c>
      <c r="C31" s="8" t="s">
        <v>133</v>
      </c>
      <c r="D31" s="9" t="s">
        <v>173</v>
      </c>
      <c r="E31" s="8" t="s">
        <v>174</v>
      </c>
      <c r="F31" s="8" t="s">
        <v>175</v>
      </c>
      <c r="G31" s="8" t="s">
        <v>27</v>
      </c>
      <c r="H31" s="8" t="s">
        <v>176</v>
      </c>
      <c r="I31" s="8"/>
      <c r="J31" s="8" t="s">
        <v>29</v>
      </c>
      <c r="K31" s="8" t="s">
        <v>177</v>
      </c>
      <c r="L31" s="8" t="s">
        <v>59</v>
      </c>
    </row>
    <row r="32" customFormat="false" ht="75" hidden="false" customHeight="true" outlineLevel="0" collapsed="false">
      <c r="A32" s="8" t="n">
        <v>30</v>
      </c>
      <c r="B32" s="8" t="s">
        <v>166</v>
      </c>
      <c r="C32" s="8" t="s">
        <v>88</v>
      </c>
      <c r="D32" s="9" t="s">
        <v>178</v>
      </c>
      <c r="E32" s="8" t="s">
        <v>179</v>
      </c>
      <c r="F32" s="8" t="s">
        <v>180</v>
      </c>
      <c r="G32" s="8" t="s">
        <v>170</v>
      </c>
      <c r="H32" s="8" t="s">
        <v>181</v>
      </c>
      <c r="I32" s="9" t="s">
        <v>182</v>
      </c>
      <c r="J32" s="8" t="s">
        <v>85</v>
      </c>
      <c r="K32" s="8" t="s">
        <v>86</v>
      </c>
      <c r="L32" s="8" t="s">
        <v>183</v>
      </c>
    </row>
    <row r="33" customFormat="false" ht="75" hidden="false" customHeight="true" outlineLevel="0" collapsed="false">
      <c r="A33" s="8" t="n">
        <v>31</v>
      </c>
      <c r="B33" s="8" t="s">
        <v>166</v>
      </c>
      <c r="C33" s="8" t="s">
        <v>184</v>
      </c>
      <c r="D33" s="10" t="s">
        <v>185</v>
      </c>
      <c r="E33" s="8" t="s">
        <v>186</v>
      </c>
      <c r="F33" s="8" t="s">
        <v>69</v>
      </c>
      <c r="G33" s="8" t="s">
        <v>27</v>
      </c>
      <c r="H33" s="8" t="s">
        <v>70</v>
      </c>
      <c r="I33" s="8"/>
      <c r="J33" s="8" t="s">
        <v>29</v>
      </c>
      <c r="K33" s="11" t="s">
        <v>187</v>
      </c>
      <c r="L33" s="11" t="s">
        <v>188</v>
      </c>
    </row>
    <row r="34" customFormat="false" ht="75" hidden="false" customHeight="true" outlineLevel="0" collapsed="false">
      <c r="A34" s="8" t="n">
        <v>32</v>
      </c>
      <c r="B34" s="8" t="s">
        <v>189</v>
      </c>
      <c r="C34" s="8" t="s">
        <v>116</v>
      </c>
      <c r="D34" s="9" t="s">
        <v>190</v>
      </c>
      <c r="E34" s="8" t="s">
        <v>160</v>
      </c>
      <c r="F34" s="8" t="s">
        <v>161</v>
      </c>
      <c r="G34" s="8" t="s">
        <v>82</v>
      </c>
      <c r="H34" s="8" t="s">
        <v>162</v>
      </c>
      <c r="I34" s="9" t="s">
        <v>156</v>
      </c>
      <c r="J34" s="8" t="s">
        <v>85</v>
      </c>
      <c r="K34" s="8" t="s">
        <v>191</v>
      </c>
      <c r="L34" s="8" t="s">
        <v>122</v>
      </c>
    </row>
    <row r="35" customFormat="false" ht="75" hidden="false" customHeight="true" outlineLevel="0" collapsed="false">
      <c r="A35" s="8" t="n">
        <v>33</v>
      </c>
      <c r="B35" s="8" t="s">
        <v>189</v>
      </c>
      <c r="C35" s="8" t="s">
        <v>48</v>
      </c>
      <c r="D35" s="9" t="s">
        <v>192</v>
      </c>
      <c r="E35" s="8" t="s">
        <v>160</v>
      </c>
      <c r="F35" s="8" t="s">
        <v>161</v>
      </c>
      <c r="G35" s="8" t="s">
        <v>82</v>
      </c>
      <c r="H35" s="8" t="s">
        <v>162</v>
      </c>
      <c r="I35" s="9" t="s">
        <v>156</v>
      </c>
      <c r="J35" s="8" t="s">
        <v>85</v>
      </c>
      <c r="K35" s="8" t="s">
        <v>121</v>
      </c>
      <c r="L35" s="8" t="s">
        <v>193</v>
      </c>
    </row>
    <row r="36" customFormat="false" ht="75" hidden="false" customHeight="true" outlineLevel="0" collapsed="false">
      <c r="A36" s="8" t="n">
        <v>34</v>
      </c>
      <c r="B36" s="8" t="s">
        <v>189</v>
      </c>
      <c r="C36" s="8" t="s">
        <v>184</v>
      </c>
      <c r="D36" s="9" t="s">
        <v>194</v>
      </c>
      <c r="E36" s="8" t="s">
        <v>195</v>
      </c>
      <c r="F36" s="8" t="s">
        <v>196</v>
      </c>
      <c r="G36" s="8" t="s">
        <v>27</v>
      </c>
      <c r="H36" s="8" t="s">
        <v>197</v>
      </c>
      <c r="I36" s="8"/>
      <c r="J36" s="8" t="s">
        <v>29</v>
      </c>
      <c r="K36" s="8" t="s">
        <v>198</v>
      </c>
      <c r="L36" s="11" t="s">
        <v>188</v>
      </c>
    </row>
    <row r="37" customFormat="false" ht="75" hidden="false" customHeight="true" outlineLevel="0" collapsed="false">
      <c r="A37" s="8" t="n">
        <v>35</v>
      </c>
      <c r="B37" s="8" t="s">
        <v>189</v>
      </c>
      <c r="C37" s="8" t="s">
        <v>184</v>
      </c>
      <c r="D37" s="10" t="s">
        <v>199</v>
      </c>
      <c r="E37" s="8" t="s">
        <v>200</v>
      </c>
      <c r="F37" s="8" t="s">
        <v>69</v>
      </c>
      <c r="G37" s="8" t="s">
        <v>27</v>
      </c>
      <c r="H37" s="8" t="s">
        <v>70</v>
      </c>
      <c r="I37" s="8"/>
      <c r="J37" s="8" t="s">
        <v>29</v>
      </c>
      <c r="K37" s="11" t="s">
        <v>187</v>
      </c>
      <c r="L37" s="11" t="s">
        <v>188</v>
      </c>
    </row>
    <row r="38" customFormat="false" ht="75" hidden="false" customHeight="true" outlineLevel="0" collapsed="false">
      <c r="A38" s="8" t="n">
        <v>36</v>
      </c>
      <c r="B38" s="8" t="s">
        <v>201</v>
      </c>
      <c r="C38" s="8" t="s">
        <v>202</v>
      </c>
      <c r="D38" s="9" t="s">
        <v>203</v>
      </c>
      <c r="E38" s="8" t="s">
        <v>204</v>
      </c>
      <c r="F38" s="8" t="s">
        <v>180</v>
      </c>
      <c r="G38" s="8" t="s">
        <v>170</v>
      </c>
      <c r="H38" s="8" t="s">
        <v>181</v>
      </c>
      <c r="I38" s="9" t="s">
        <v>182</v>
      </c>
      <c r="J38" s="8" t="s">
        <v>85</v>
      </c>
      <c r="K38" s="8" t="s">
        <v>205</v>
      </c>
      <c r="L38" s="8" t="s">
        <v>206</v>
      </c>
    </row>
    <row r="39" customFormat="false" ht="75" hidden="false" customHeight="true" outlineLevel="0" collapsed="false">
      <c r="A39" s="8" t="n">
        <v>37</v>
      </c>
      <c r="B39" s="8" t="s">
        <v>201</v>
      </c>
      <c r="C39" s="8" t="s">
        <v>48</v>
      </c>
      <c r="D39" s="9" t="s">
        <v>207</v>
      </c>
      <c r="E39" s="8" t="s">
        <v>208</v>
      </c>
      <c r="F39" s="8" t="s">
        <v>209</v>
      </c>
      <c r="G39" s="8" t="s">
        <v>210</v>
      </c>
      <c r="H39" s="8" t="s">
        <v>211</v>
      </c>
      <c r="I39" s="9" t="s">
        <v>212</v>
      </c>
      <c r="J39" s="8" t="s">
        <v>85</v>
      </c>
      <c r="K39" s="8" t="s">
        <v>213</v>
      </c>
      <c r="L39" s="8" t="s">
        <v>126</v>
      </c>
    </row>
    <row r="40" customFormat="false" ht="75" hidden="false" customHeight="true" outlineLevel="0" collapsed="false">
      <c r="A40" s="8" t="n">
        <v>38</v>
      </c>
      <c r="B40" s="8" t="s">
        <v>201</v>
      </c>
      <c r="C40" s="8" t="s">
        <v>214</v>
      </c>
      <c r="D40" s="9" t="s">
        <v>215</v>
      </c>
      <c r="E40" s="8" t="s">
        <v>216</v>
      </c>
      <c r="F40" s="8" t="s">
        <v>69</v>
      </c>
      <c r="G40" s="8" t="s">
        <v>27</v>
      </c>
      <c r="H40" s="8" t="s">
        <v>70</v>
      </c>
      <c r="I40" s="8"/>
      <c r="J40" s="8" t="s">
        <v>29</v>
      </c>
      <c r="K40" s="8" t="s">
        <v>217</v>
      </c>
      <c r="L40" s="8" t="s">
        <v>218</v>
      </c>
    </row>
    <row r="41" customFormat="false" ht="75" hidden="false" customHeight="true" outlineLevel="0" collapsed="false">
      <c r="A41" s="8" t="n">
        <v>39</v>
      </c>
      <c r="B41" s="8" t="s">
        <v>201</v>
      </c>
      <c r="C41" s="8" t="s">
        <v>88</v>
      </c>
      <c r="D41" s="9" t="s">
        <v>219</v>
      </c>
      <c r="E41" s="8" t="s">
        <v>220</v>
      </c>
      <c r="F41" s="8" t="s">
        <v>221</v>
      </c>
      <c r="G41" s="8" t="s">
        <v>210</v>
      </c>
      <c r="H41" s="8" t="s">
        <v>222</v>
      </c>
      <c r="I41" s="9" t="s">
        <v>223</v>
      </c>
      <c r="J41" s="8" t="s">
        <v>29</v>
      </c>
      <c r="K41" s="8" t="s">
        <v>149</v>
      </c>
      <c r="L41" s="8" t="s">
        <v>150</v>
      </c>
    </row>
    <row r="42" customFormat="false" ht="75" hidden="false" customHeight="true" outlineLevel="0" collapsed="false">
      <c r="A42" s="8" t="n">
        <v>40</v>
      </c>
      <c r="B42" s="8" t="s">
        <v>201</v>
      </c>
      <c r="C42" s="8" t="s">
        <v>88</v>
      </c>
      <c r="D42" s="9" t="s">
        <v>224</v>
      </c>
      <c r="E42" s="8" t="s">
        <v>225</v>
      </c>
      <c r="F42" s="8" t="s">
        <v>91</v>
      </c>
      <c r="G42" s="8" t="s">
        <v>27</v>
      </c>
      <c r="H42" s="8" t="s">
        <v>92</v>
      </c>
      <c r="I42" s="8"/>
      <c r="J42" s="8" t="s">
        <v>29</v>
      </c>
      <c r="K42" s="8" t="s">
        <v>93</v>
      </c>
      <c r="L42" s="8" t="s">
        <v>47</v>
      </c>
    </row>
    <row r="43" customFormat="false" ht="75" hidden="false" customHeight="true" outlineLevel="0" collapsed="false">
      <c r="A43" s="8" t="n">
        <v>41</v>
      </c>
      <c r="B43" s="8" t="s">
        <v>201</v>
      </c>
      <c r="C43" s="8" t="s">
        <v>88</v>
      </c>
      <c r="D43" s="9" t="s">
        <v>226</v>
      </c>
      <c r="E43" s="8" t="s">
        <v>227</v>
      </c>
      <c r="F43" s="8" t="s">
        <v>91</v>
      </c>
      <c r="G43" s="8" t="s">
        <v>27</v>
      </c>
      <c r="H43" s="8" t="s">
        <v>92</v>
      </c>
      <c r="I43" s="8"/>
      <c r="J43" s="8" t="s">
        <v>29</v>
      </c>
      <c r="K43" s="8" t="s">
        <v>93</v>
      </c>
      <c r="L43" s="8" t="s">
        <v>47</v>
      </c>
    </row>
    <row r="44" customFormat="false" ht="75" hidden="false" customHeight="true" outlineLevel="0" collapsed="false">
      <c r="A44" s="8" t="n">
        <v>42</v>
      </c>
      <c r="B44" s="8" t="s">
        <v>201</v>
      </c>
      <c r="C44" s="8" t="s">
        <v>88</v>
      </c>
      <c r="D44" s="9" t="s">
        <v>228</v>
      </c>
      <c r="E44" s="8" t="s">
        <v>229</v>
      </c>
      <c r="F44" s="8" t="s">
        <v>91</v>
      </c>
      <c r="G44" s="8" t="s">
        <v>27</v>
      </c>
      <c r="H44" s="8" t="s">
        <v>92</v>
      </c>
      <c r="I44" s="8"/>
      <c r="J44" s="8" t="s">
        <v>29</v>
      </c>
      <c r="K44" s="8" t="s">
        <v>93</v>
      </c>
      <c r="L44" s="8" t="s">
        <v>47</v>
      </c>
    </row>
    <row r="45" customFormat="false" ht="75" hidden="false" customHeight="true" outlineLevel="0" collapsed="false">
      <c r="A45" s="8" t="n">
        <v>43</v>
      </c>
      <c r="B45" s="8" t="s">
        <v>230</v>
      </c>
      <c r="C45" s="8" t="s">
        <v>231</v>
      </c>
      <c r="D45" s="9" t="s">
        <v>232</v>
      </c>
      <c r="E45" s="8" t="s">
        <v>233</v>
      </c>
      <c r="F45" s="8" t="s">
        <v>234</v>
      </c>
      <c r="G45" s="8" t="s">
        <v>82</v>
      </c>
      <c r="H45" s="8" t="s">
        <v>235</v>
      </c>
      <c r="I45" s="9" t="s">
        <v>236</v>
      </c>
      <c r="J45" s="8" t="s">
        <v>85</v>
      </c>
      <c r="K45" s="8" t="s">
        <v>237</v>
      </c>
      <c r="L45" s="8" t="s">
        <v>39</v>
      </c>
    </row>
    <row r="46" customFormat="false" ht="75" hidden="false" customHeight="true" outlineLevel="0" collapsed="false">
      <c r="A46" s="8" t="n">
        <v>44</v>
      </c>
      <c r="B46" s="8" t="s">
        <v>238</v>
      </c>
      <c r="C46" s="8" t="s">
        <v>48</v>
      </c>
      <c r="D46" s="9" t="s">
        <v>239</v>
      </c>
      <c r="E46" s="8" t="s">
        <v>240</v>
      </c>
      <c r="F46" s="8" t="s">
        <v>113</v>
      </c>
      <c r="G46" s="8" t="s">
        <v>27</v>
      </c>
      <c r="H46" s="8" t="s">
        <v>114</v>
      </c>
      <c r="I46" s="8"/>
      <c r="J46" s="8" t="s">
        <v>29</v>
      </c>
      <c r="K46" s="8" t="s">
        <v>54</v>
      </c>
      <c r="L46" s="8" t="s">
        <v>241</v>
      </c>
    </row>
    <row r="47" customFormat="false" ht="75" hidden="false" customHeight="true" outlineLevel="0" collapsed="false">
      <c r="A47" s="8" t="n">
        <v>45</v>
      </c>
      <c r="B47" s="8" t="s">
        <v>238</v>
      </c>
      <c r="C47" s="8" t="s">
        <v>231</v>
      </c>
      <c r="D47" s="9" t="s">
        <v>242</v>
      </c>
      <c r="E47" s="8" t="s">
        <v>243</v>
      </c>
      <c r="F47" s="8" t="s">
        <v>244</v>
      </c>
      <c r="G47" s="8" t="s">
        <v>210</v>
      </c>
      <c r="H47" s="8" t="s">
        <v>245</v>
      </c>
      <c r="I47" s="9" t="s">
        <v>246</v>
      </c>
      <c r="J47" s="8" t="s">
        <v>29</v>
      </c>
      <c r="K47" s="8" t="s">
        <v>86</v>
      </c>
      <c r="L47" s="8" t="s">
        <v>150</v>
      </c>
    </row>
    <row r="48" customFormat="false" ht="75" hidden="false" customHeight="true" outlineLevel="0" collapsed="false">
      <c r="A48" s="8" t="n">
        <v>46</v>
      </c>
      <c r="B48" s="8" t="s">
        <v>238</v>
      </c>
      <c r="C48" s="8" t="s">
        <v>88</v>
      </c>
      <c r="D48" s="9" t="s">
        <v>247</v>
      </c>
      <c r="E48" s="8" t="s">
        <v>248</v>
      </c>
      <c r="F48" s="8" t="s">
        <v>249</v>
      </c>
      <c r="G48" s="8" t="s">
        <v>210</v>
      </c>
      <c r="H48" s="8" t="s">
        <v>250</v>
      </c>
      <c r="I48" s="9" t="s">
        <v>251</v>
      </c>
      <c r="J48" s="8" t="s">
        <v>29</v>
      </c>
      <c r="K48" s="8" t="s">
        <v>191</v>
      </c>
      <c r="L48" s="8" t="s">
        <v>252</v>
      </c>
    </row>
    <row r="49" customFormat="false" ht="75" hidden="false" customHeight="true" outlineLevel="0" collapsed="false">
      <c r="A49" s="8" t="n">
        <v>47</v>
      </c>
      <c r="B49" s="8" t="s">
        <v>238</v>
      </c>
      <c r="C49" s="8" t="s">
        <v>88</v>
      </c>
      <c r="D49" s="9" t="s">
        <v>253</v>
      </c>
      <c r="E49" s="8" t="s">
        <v>248</v>
      </c>
      <c r="F49" s="8" t="s">
        <v>249</v>
      </c>
      <c r="G49" s="8" t="s">
        <v>210</v>
      </c>
      <c r="H49" s="8" t="s">
        <v>250</v>
      </c>
      <c r="I49" s="9" t="s">
        <v>251</v>
      </c>
      <c r="J49" s="8" t="s">
        <v>29</v>
      </c>
      <c r="K49" s="8" t="s">
        <v>86</v>
      </c>
      <c r="L49" s="8" t="s">
        <v>43</v>
      </c>
    </row>
    <row r="50" customFormat="false" ht="75" hidden="false" customHeight="true" outlineLevel="0" collapsed="false">
      <c r="A50" s="8" t="n">
        <v>48</v>
      </c>
      <c r="B50" s="8" t="s">
        <v>254</v>
      </c>
      <c r="C50" s="8" t="s">
        <v>255</v>
      </c>
      <c r="D50" s="9" t="s">
        <v>256</v>
      </c>
      <c r="E50" s="8" t="s">
        <v>168</v>
      </c>
      <c r="F50" s="8" t="s">
        <v>169</v>
      </c>
      <c r="G50" s="8" t="s">
        <v>170</v>
      </c>
      <c r="H50" s="8" t="s">
        <v>171</v>
      </c>
      <c r="I50" s="9" t="s">
        <v>172</v>
      </c>
      <c r="J50" s="8" t="s">
        <v>29</v>
      </c>
      <c r="K50" s="8" t="s">
        <v>54</v>
      </c>
      <c r="L50" s="8" t="s">
        <v>257</v>
      </c>
    </row>
    <row r="51" customFormat="false" ht="75" hidden="false" customHeight="true" outlineLevel="0" collapsed="false">
      <c r="A51" s="8" t="n">
        <v>49</v>
      </c>
      <c r="B51" s="8" t="s">
        <v>254</v>
      </c>
      <c r="C51" s="8" t="s">
        <v>258</v>
      </c>
      <c r="D51" s="9" t="s">
        <v>259</v>
      </c>
      <c r="E51" s="8" t="s">
        <v>260</v>
      </c>
      <c r="F51" s="8" t="s">
        <v>180</v>
      </c>
      <c r="G51" s="8" t="s">
        <v>170</v>
      </c>
      <c r="H51" s="8" t="s">
        <v>181</v>
      </c>
      <c r="I51" s="9" t="s">
        <v>182</v>
      </c>
      <c r="J51" s="8" t="s">
        <v>85</v>
      </c>
      <c r="K51" s="8" t="s">
        <v>121</v>
      </c>
      <c r="L51" s="8" t="s">
        <v>261</v>
      </c>
    </row>
    <row r="52" customFormat="false" ht="75" hidden="false" customHeight="true" outlineLevel="0" collapsed="false">
      <c r="A52" s="8" t="n">
        <v>50</v>
      </c>
      <c r="B52" s="8" t="s">
        <v>262</v>
      </c>
      <c r="C52" s="8" t="s">
        <v>263</v>
      </c>
      <c r="D52" s="9" t="s">
        <v>264</v>
      </c>
      <c r="E52" s="8" t="s">
        <v>265</v>
      </c>
      <c r="F52" s="8" t="s">
        <v>266</v>
      </c>
      <c r="G52" s="8" t="s">
        <v>82</v>
      </c>
      <c r="H52" s="8" t="s">
        <v>267</v>
      </c>
      <c r="I52" s="9" t="s">
        <v>268</v>
      </c>
      <c r="J52" s="8" t="s">
        <v>85</v>
      </c>
      <c r="K52" s="8" t="s">
        <v>269</v>
      </c>
      <c r="L52" s="8" t="s">
        <v>87</v>
      </c>
    </row>
    <row r="53" customFormat="false" ht="75" hidden="false" customHeight="true" outlineLevel="0" collapsed="false">
      <c r="A53" s="8" t="n">
        <v>51</v>
      </c>
      <c r="B53" s="8" t="s">
        <v>270</v>
      </c>
      <c r="C53" s="8" t="s">
        <v>202</v>
      </c>
      <c r="D53" s="9" t="s">
        <v>271</v>
      </c>
      <c r="E53" s="8" t="s">
        <v>272</v>
      </c>
      <c r="F53" s="8" t="s">
        <v>180</v>
      </c>
      <c r="G53" s="8" t="s">
        <v>170</v>
      </c>
      <c r="H53" s="8" t="s">
        <v>181</v>
      </c>
      <c r="I53" s="9" t="s">
        <v>182</v>
      </c>
      <c r="J53" s="8" t="s">
        <v>85</v>
      </c>
      <c r="K53" s="8" t="s">
        <v>273</v>
      </c>
      <c r="L53" s="8" t="s">
        <v>183</v>
      </c>
    </row>
    <row r="54" customFormat="false" ht="75" hidden="false" customHeight="true" outlineLevel="0" collapsed="false">
      <c r="A54" s="8" t="n">
        <v>52</v>
      </c>
      <c r="B54" s="8" t="s">
        <v>270</v>
      </c>
      <c r="C54" s="8" t="s">
        <v>151</v>
      </c>
      <c r="D54" s="9" t="s">
        <v>274</v>
      </c>
      <c r="E54" s="8" t="s">
        <v>275</v>
      </c>
      <c r="F54" s="8" t="s">
        <v>69</v>
      </c>
      <c r="G54" s="8" t="s">
        <v>27</v>
      </c>
      <c r="H54" s="8" t="s">
        <v>70</v>
      </c>
      <c r="I54" s="8"/>
      <c r="J54" s="8" t="s">
        <v>29</v>
      </c>
      <c r="K54" s="8" t="s">
        <v>276</v>
      </c>
      <c r="L54" s="8" t="s">
        <v>277</v>
      </c>
    </row>
    <row r="55" customFormat="false" ht="75" hidden="false" customHeight="true" outlineLevel="0" collapsed="false">
      <c r="A55" s="8" t="n">
        <v>53</v>
      </c>
      <c r="B55" s="8" t="s">
        <v>270</v>
      </c>
      <c r="C55" s="8" t="s">
        <v>278</v>
      </c>
      <c r="D55" s="9" t="s">
        <v>279</v>
      </c>
      <c r="E55" s="8" t="s">
        <v>280</v>
      </c>
      <c r="F55" s="8" t="s">
        <v>196</v>
      </c>
      <c r="G55" s="8" t="s">
        <v>27</v>
      </c>
      <c r="H55" s="8" t="s">
        <v>197</v>
      </c>
      <c r="I55" s="8"/>
      <c r="J55" s="8" t="s">
        <v>29</v>
      </c>
      <c r="K55" s="8" t="s">
        <v>54</v>
      </c>
      <c r="L55" s="8" t="s">
        <v>59</v>
      </c>
    </row>
    <row r="56" customFormat="false" ht="75" hidden="false" customHeight="true" outlineLevel="0" collapsed="false">
      <c r="A56" s="8" t="n">
        <v>54</v>
      </c>
      <c r="B56" s="8" t="s">
        <v>281</v>
      </c>
      <c r="C56" s="8" t="s">
        <v>151</v>
      </c>
      <c r="D56" s="9" t="s">
        <v>282</v>
      </c>
      <c r="E56" s="8" t="s">
        <v>283</v>
      </c>
      <c r="F56" s="8" t="s">
        <v>26</v>
      </c>
      <c r="G56" s="8" t="s">
        <v>27</v>
      </c>
      <c r="H56" s="8" t="s">
        <v>28</v>
      </c>
      <c r="I56" s="8"/>
      <c r="J56" s="8" t="s">
        <v>29</v>
      </c>
      <c r="K56" s="8" t="s">
        <v>46</v>
      </c>
      <c r="L56" s="8" t="s">
        <v>284</v>
      </c>
    </row>
    <row r="57" customFormat="false" ht="75" hidden="false" customHeight="true" outlineLevel="0" collapsed="false">
      <c r="A57" s="8" t="n">
        <v>55</v>
      </c>
      <c r="B57" s="8" t="s">
        <v>285</v>
      </c>
      <c r="C57" s="8" t="s">
        <v>48</v>
      </c>
      <c r="D57" s="9" t="s">
        <v>286</v>
      </c>
      <c r="E57" s="8" t="s">
        <v>287</v>
      </c>
      <c r="F57" s="8" t="s">
        <v>26</v>
      </c>
      <c r="G57" s="8" t="s">
        <v>27</v>
      </c>
      <c r="H57" s="8" t="s">
        <v>28</v>
      </c>
      <c r="I57" s="8"/>
      <c r="J57" s="8" t="s">
        <v>29</v>
      </c>
      <c r="K57" s="8" t="s">
        <v>217</v>
      </c>
      <c r="L57" s="8" t="s">
        <v>241</v>
      </c>
    </row>
    <row r="58" customFormat="false" ht="75" hidden="false" customHeight="true" outlineLevel="0" collapsed="false">
      <c r="A58" s="8" t="n">
        <v>56</v>
      </c>
      <c r="B58" s="8" t="s">
        <v>285</v>
      </c>
      <c r="C58" s="8" t="s">
        <v>48</v>
      </c>
      <c r="D58" s="9" t="s">
        <v>288</v>
      </c>
      <c r="E58" s="8" t="s">
        <v>289</v>
      </c>
      <c r="F58" s="8" t="s">
        <v>180</v>
      </c>
      <c r="G58" s="8" t="s">
        <v>170</v>
      </c>
      <c r="H58" s="8" t="s">
        <v>181</v>
      </c>
      <c r="I58" s="9" t="s">
        <v>182</v>
      </c>
      <c r="J58" s="8" t="s">
        <v>85</v>
      </c>
      <c r="K58" s="8" t="s">
        <v>217</v>
      </c>
      <c r="L58" s="8" t="s">
        <v>290</v>
      </c>
    </row>
    <row r="59" customFormat="false" ht="75" hidden="false" customHeight="true" outlineLevel="0" collapsed="false">
      <c r="A59" s="8" t="n">
        <v>57</v>
      </c>
      <c r="B59" s="8" t="s">
        <v>285</v>
      </c>
      <c r="C59" s="8" t="s">
        <v>291</v>
      </c>
      <c r="D59" s="9" t="s">
        <v>292</v>
      </c>
      <c r="E59" s="8" t="s">
        <v>293</v>
      </c>
      <c r="F59" s="8" t="s">
        <v>294</v>
      </c>
      <c r="G59" s="8" t="s">
        <v>82</v>
      </c>
      <c r="H59" s="8" t="s">
        <v>295</v>
      </c>
      <c r="I59" s="9" t="s">
        <v>296</v>
      </c>
      <c r="J59" s="8" t="s">
        <v>85</v>
      </c>
      <c r="K59" s="8" t="s">
        <v>297</v>
      </c>
      <c r="L59" s="8" t="s">
        <v>141</v>
      </c>
    </row>
    <row r="60" customFormat="false" ht="75" hidden="false" customHeight="true" outlineLevel="0" collapsed="false">
      <c r="A60" s="8" t="n">
        <v>58</v>
      </c>
      <c r="B60" s="8" t="s">
        <v>298</v>
      </c>
      <c r="C60" s="8" t="s">
        <v>299</v>
      </c>
      <c r="D60" s="9" t="s">
        <v>300</v>
      </c>
      <c r="E60" s="8" t="s">
        <v>301</v>
      </c>
      <c r="F60" s="8" t="s">
        <v>302</v>
      </c>
      <c r="G60" s="8" t="s">
        <v>170</v>
      </c>
      <c r="H60" s="8" t="s">
        <v>303</v>
      </c>
      <c r="I60" s="9" t="s">
        <v>304</v>
      </c>
      <c r="J60" s="8" t="s">
        <v>29</v>
      </c>
      <c r="K60" s="8" t="s">
        <v>157</v>
      </c>
      <c r="L60" s="8" t="s">
        <v>122</v>
      </c>
    </row>
    <row r="61" customFormat="false" ht="75" hidden="false" customHeight="true" outlineLevel="0" collapsed="false">
      <c r="A61" s="8" t="n">
        <v>59</v>
      </c>
      <c r="B61" s="8" t="s">
        <v>305</v>
      </c>
      <c r="C61" s="8" t="s">
        <v>48</v>
      </c>
      <c r="D61" s="9" t="s">
        <v>306</v>
      </c>
      <c r="E61" s="8" t="s">
        <v>301</v>
      </c>
      <c r="F61" s="8" t="s">
        <v>302</v>
      </c>
      <c r="G61" s="8" t="s">
        <v>170</v>
      </c>
      <c r="H61" s="8" t="s">
        <v>303</v>
      </c>
      <c r="I61" s="9" t="s">
        <v>304</v>
      </c>
      <c r="J61" s="8" t="s">
        <v>29</v>
      </c>
      <c r="K61" s="8" t="s">
        <v>217</v>
      </c>
      <c r="L61" s="8" t="s">
        <v>307</v>
      </c>
    </row>
    <row r="62" customFormat="false" ht="75" hidden="false" customHeight="true" outlineLevel="0" collapsed="false">
      <c r="A62" s="8" t="n">
        <v>60</v>
      </c>
      <c r="B62" s="8" t="s">
        <v>308</v>
      </c>
      <c r="C62" s="8" t="s">
        <v>299</v>
      </c>
      <c r="D62" s="9" t="s">
        <v>309</v>
      </c>
      <c r="E62" s="8" t="s">
        <v>310</v>
      </c>
      <c r="F62" s="8" t="s">
        <v>196</v>
      </c>
      <c r="G62" s="8" t="s">
        <v>27</v>
      </c>
      <c r="H62" s="8" t="s">
        <v>197</v>
      </c>
      <c r="I62" s="8"/>
      <c r="J62" s="8" t="s">
        <v>29</v>
      </c>
      <c r="K62" s="8" t="s">
        <v>191</v>
      </c>
      <c r="L62" s="8" t="s">
        <v>311</v>
      </c>
    </row>
    <row r="63" customFormat="false" ht="75" hidden="false" customHeight="true" outlineLevel="0" collapsed="false">
      <c r="A63" s="8" t="n">
        <v>61</v>
      </c>
      <c r="B63" s="8" t="s">
        <v>312</v>
      </c>
      <c r="C63" s="8" t="s">
        <v>48</v>
      </c>
      <c r="D63" s="9" t="s">
        <v>313</v>
      </c>
      <c r="E63" s="8" t="s">
        <v>314</v>
      </c>
      <c r="F63" s="8" t="s">
        <v>315</v>
      </c>
      <c r="G63" s="8" t="s">
        <v>52</v>
      </c>
      <c r="H63" s="8" t="s">
        <v>316</v>
      </c>
      <c r="I63" s="8"/>
      <c r="J63" s="8" t="s">
        <v>29</v>
      </c>
      <c r="K63" s="8" t="s">
        <v>46</v>
      </c>
      <c r="L63" s="8" t="s">
        <v>55</v>
      </c>
    </row>
    <row r="64" customFormat="false" ht="75" hidden="false" customHeight="true" outlineLevel="0" collapsed="false">
      <c r="A64" s="8" t="n">
        <v>62</v>
      </c>
      <c r="B64" s="8" t="s">
        <v>312</v>
      </c>
      <c r="C64" s="8" t="s">
        <v>278</v>
      </c>
      <c r="D64" s="9" t="s">
        <v>317</v>
      </c>
      <c r="E64" s="8" t="s">
        <v>318</v>
      </c>
      <c r="F64" s="8" t="s">
        <v>319</v>
      </c>
      <c r="G64" s="8" t="s">
        <v>52</v>
      </c>
      <c r="H64" s="8" t="s">
        <v>320</v>
      </c>
      <c r="I64" s="8"/>
      <c r="J64" s="8" t="s">
        <v>29</v>
      </c>
      <c r="K64" s="8" t="s">
        <v>54</v>
      </c>
      <c r="L64" s="8" t="s">
        <v>47</v>
      </c>
    </row>
    <row r="65" customFormat="false" ht="75" hidden="false" customHeight="true" outlineLevel="0" collapsed="false">
      <c r="A65" s="8" t="n">
        <v>63</v>
      </c>
      <c r="B65" s="8" t="s">
        <v>321</v>
      </c>
      <c r="C65" s="8" t="s">
        <v>151</v>
      </c>
      <c r="D65" s="9" t="s">
        <v>322</v>
      </c>
      <c r="E65" s="8" t="s">
        <v>323</v>
      </c>
      <c r="F65" s="8" t="s">
        <v>324</v>
      </c>
      <c r="G65" s="8" t="s">
        <v>52</v>
      </c>
      <c r="H65" s="8" t="s">
        <v>316</v>
      </c>
      <c r="I65" s="8"/>
      <c r="J65" s="8" t="s">
        <v>29</v>
      </c>
      <c r="K65" s="8" t="s">
        <v>46</v>
      </c>
      <c r="L65" s="8" t="s">
        <v>59</v>
      </c>
    </row>
    <row r="66" customFormat="false" ht="75" hidden="false" customHeight="true" outlineLevel="0" collapsed="false">
      <c r="A66" s="8" t="n">
        <v>64</v>
      </c>
      <c r="B66" s="8" t="s">
        <v>321</v>
      </c>
      <c r="C66" s="8" t="s">
        <v>325</v>
      </c>
      <c r="D66" s="9" t="s">
        <v>326</v>
      </c>
      <c r="E66" s="8" t="s">
        <v>327</v>
      </c>
      <c r="F66" s="8" t="s">
        <v>196</v>
      </c>
      <c r="G66" s="8" t="s">
        <v>27</v>
      </c>
      <c r="H66" s="8" t="s">
        <v>197</v>
      </c>
      <c r="I66" s="8"/>
      <c r="J66" s="8" t="s">
        <v>29</v>
      </c>
      <c r="K66" s="8" t="s">
        <v>273</v>
      </c>
      <c r="L66" s="8" t="s">
        <v>141</v>
      </c>
    </row>
  </sheetData>
  <autoFilter ref="A1:L66"/>
  <conditionalFormatting sqref="G2:G66">
    <cfRule type="expression" priority="2" aboveAverage="0" equalAverage="0" bottom="0" percent="0" rank="0" text="" dxfId="8">
      <formula>$G2="logged"</formula>
    </cfRule>
    <cfRule type="expression" priority="3" aboveAverage="0" equalAverage="0" bottom="0" percent="0" rank="0" text="" dxfId="9">
      <formula>$G2="your judgement"</formula>
    </cfRule>
    <cfRule type="expression" priority="4" aboveAverage="0" equalAverage="0" bottom="0" percent="0" rank="0" text="" dxfId="10">
      <formula>$G2="second source"</formula>
    </cfRule>
    <cfRule type="expression" priority="5" aboveAverage="0" equalAverage="0" bottom="0" percent="0" rank="0" text="" dxfId="11">
      <formula>$G2="already logged"</formula>
    </cfRule>
  </conditionalFormatting>
  <hyperlinks>
    <hyperlink ref="D2" r:id="rId2" display="Binance взломали. С крупнейшей криптобиржи вывели почти $6 млрд за час"/>
    <hyperlink ref="D3" r:id="rId3" display="Anthropic-Themed Phishing Emails Bypass Top Security Tools"/>
    <hyperlink ref="D4" r:id="rId4" display="Linux Kernel TCP Flaw With 9.8 CVSS Score Affects Ubuntu, Red Hat and Other Distributions"/>
    <hyperlink ref="D5" r:id="rId5" display="Fake ChatGPT and Claude Apps Abuse Signed Executables to Deploy Crypto Miners"/>
    <hyperlink ref="D6" r:id="rId6" display="NIK C2 Malware Can Use Victims’ OpenAI Keys for AI Queries"/>
    <hyperlink ref="D7" r:id="rId7" display="Yoba malware hides in fake desktop versions of ChatGPT and Claude"/>
    <hyperlink ref="D8" r:id="rId8" display="Researchers broke the browsers built into VS Code, Cursor, Copilot, Codex and Claude Desktop"/>
    <hyperlink ref="D9" r:id="rId9" display="MITRE ATT&amp;amp;CK в декорациях детектива: новый формат обучения безопасности"/>
    <hyperlink ref="D10" r:id="rId10" display="В кошельке Electrum исправили баг, позволяющий похищать криптовалюту"/>
    <hyperlink ref="D11" r:id="rId11" display="Silent Train прошла сквозь защиту страны. Хакеры научились превращать зарубежные атаки во внутренний трафик"/>
    <hyperlink ref="D12" r:id="rId12" display="VAPOR PANDA Uses AI-Driven ARTEX to Scale a Global Espionage Campaign"/>
    <hyperlink ref="I12" r:id="rId13" display="https://www.crowdstrike.com/en-us/blog/vapor-panda-uses-artex-to-scale-global-campaign/"/>
    <hyperlink ref="D13" r:id="rId14" display="Russian disinformation group targets James Talarico with baseless claim in AI-generated video"/>
    <hyperlink ref="D14" r:id="rId15" display="Neues LLM: Gemini 4 Carbon ist Exploit-Experte"/>
    <hyperlink ref="D15" r:id="rId16" display="Keystone уничтожит почти 19 000 аппаратных кошельков из-за кражи криптографического ключа"/>
    <hyperlink ref="D16" r:id="rId17" display="Attackers Hide Malware Behind Signed ChatGPT and Claude Binaries"/>
    <hyperlink ref="D17" r:id="rId18" display="Attacker Relentlessly Scans for Credentials by Impersonating AI Bots"/>
    <hyperlink ref="D18" r:id="rId19" display="Взлом подрядчика — и журналы ИИ-агентов Warp под угрозой. Затронуто около 1% пользователей"/>
    <hyperlink ref="D19" r:id="rId20" display="123 Reg discloses 'AI cyberattack' on customer data, suspects China nexus"/>
    <hyperlink ref="D20" r:id="rId21" display="Anthropic's Unreleased AI Model Chains Flaws Into Working Chrome, Safari, Windows and Linux Exploits"/>
    <hyperlink ref="D21" r:id="rId22" display="AI в управлении уязвимостями: помощник, оружие и новая мишень одновременно"/>
    <hyperlink ref="D22" r:id="rId23" display="Атака на VMmanager 6 — хронология инцидента, разбор использовавшихся уязвимостей и ситуация сейчас"/>
    <hyperlink ref="D23" r:id="rId24" display="Tricks from the Past deployed via signed ChatGPT and Claude binaries"/>
    <hyperlink ref="D24" r:id="rId25" display="AI-Generated Fake Login Pages Are Making Account Takeovers Easier"/>
    <hyperlink ref="D25" r:id="rId26" display="1С, Joomla, Zimbra, CommuniGate Pro и TrueConf. Какие продукты чаще всего становились входом для хакеров в российские компании"/>
    <hyperlink ref="D26" r:id="rId27" display="In-the-Wild Attack Abuses AI Agents' Trust in Markdown"/>
    <hyperlink ref="D27" r:id="rId28" display="AI, Scripts, Operator: Inside the ConnectWise Attack"/>
    <hyperlink ref="I27" r:id="rId29" display="https://www.microsoft.com/en-us/security/blog/2026/10/21/storm-0940-uses-artex-agentic-ai-connectwise-supply-chain-compromise/"/>
    <hyperlink ref="D28" r:id="rId30" display="AI-driven, large-scale nation-state campaign using ARTEX enables supply chain compromise"/>
    <hyperlink ref="I28" r:id="rId31" display="https://www.microsoft.com/en-us/security/blog/2026/10/21/storm-0940-uses-artex-agentic-ai-connectwise-supply-chain-compromise/"/>
    <hyperlink ref="D29" r:id="rId32" display="Chinese-linked hackers compromise ConnectWise, target hundreds in global attack, Microsoft says"/>
    <hyperlink ref="I29" r:id="rId33" display="https://www.microsoft.com/en-us/security/blog/2026/10/21/storm-0940-uses-artex-agentic-ai-connectwise-supply-chain-compromise/"/>
    <hyperlink ref="D30" r:id="rId34" display="Red-team report found OpenAI utterly failed to monitor its agents during Hugging Face attack"/>
    <hyperlink ref="I30" r:id="rId35" display="https://openai.com/index/hugging-face-model-evaluation-security-incident/"/>
    <hyperlink ref="D31" r:id="rId36" display="Infostealer riding the AI Train"/>
    <hyperlink ref="D32" r:id="rId37" display="Unknown Threat Actor Uses AI-Driven ARTEX to Target South Korean Finance"/>
    <hyperlink ref="I32" r:id="rId38" display="https://www.crowdstrike.com/en-us/blog/unknown-threat-actor-uses-artex-to-target-south-korean-finance/"/>
    <hyperlink ref="D33" r:id="rId39" display="なぜ、重要システムは“分割”すべきなのか？ AI攻撃から守り切れない時代、IT部門が考えるべき「備え」とは"/>
    <hyperlink ref="D34" r:id="rId40" display="Microsoft says ConnectWise breach let Chinese spies loose on 2,250 cloud tenants"/>
    <hyperlink ref="I34" r:id="rId41" display="https://www.microsoft.com/en-us/security/blog/2026/10/21/storm-0940-uses-artex-agentic-ai-connectwise-supply-chain-compromise/"/>
    <hyperlink ref="D35" r:id="rId42" display="Microsoft: Chinese State Actor Used AI to Compromise ConnectWise Tenants"/>
    <hyperlink ref="I35" r:id="rId43" display="https://www.microsoft.com/en-us/security/blog/2026/10/21/storm-0940-uses-artex-agentic-ai-connectwise-supply-chain-compromise/"/>
    <hyperlink ref="D36" r:id="rId44" display="Microsoftが社内AIエージェントを「内部脅威」と呼ぶ理由は？ 「3つの封じ込め策」とともに紹介"/>
    <hyperlink ref="D37" r:id="rId45" display="攻撃者のAIは「人間超え、寝ない」 それでも専門家が&quot;最優先の脅威ではない&quot;と言う理由"/>
    <hyperlink ref="D38" r:id="rId46" display="Inside a Global AI-Assisted Hacking Campaign"/>
    <hyperlink ref="I38" r:id="rId47" display="https://www.crowdstrike.com/en-us/blog/unknown-threat-actor-uses-artex-to-target-south-korean-finance/"/>
    <hyperlink ref="D39" r:id="rId48" display="Symantec Uncovers AI Agent Hijacking Models for Autonomous Cyber-Attacks"/>
    <hyperlink ref="I39" r:id="rId49" display="https://www.security.com/threat-intelligence/ai-llmjacking-skynet"/>
    <hyperlink ref="D40" r:id="rId50" display="AI Guardrails Aren’t Stopping Criminal Hackers"/>
    <hyperlink ref="D41" r:id="rId51" display="AI Agents as Attack Vectors: Unauthorized Access by Agents under Evaluation and Misuse of Open-Source Agentic AI Tools Targeting Indian ICT Assets"/>
    <hyperlink ref="I41" r:id="rId52" display="https://securityaffairs.com/201130/ai"/>
    <hyperlink ref="D42" r:id="rId53" display="Texas universities limit their brands in political ads. Dan Patrick used them anyway."/>
    <hyperlink ref="D43" r:id="rId54" display="Vikki Goodwin files police report saying Dan Patrick broke law with AI-generated campaign ads"/>
    <hyperlink ref="D44" r:id="rId55" display="AI-generated political ads have appeared in Pennsylvania. Are these kind of ads allowed?"/>
    <hyperlink ref="D45" r:id="rId56" display="From Phishing to LLMjacking: Threat Actors Targeting Cloud Billing Accounts for LLM Usage"/>
    <hyperlink ref="I45" r:id="rId57" display="https://www.wiz.io/blog/from-phishing-to-llmjacking"/>
    <hyperlink ref="D46" r:id="rId58" display="OpenCode Breach Could Affect OpenAI, Anthropic and Google"/>
    <hyperlink ref="D47" r:id="rId59" display="Loud, Fast, and Everywhere: Anatomy of a Real AI-Driven Cloud Attack"/>
    <hyperlink ref="I47" r:id="rId60" display="https://www.wiz.io/blog/anatomy-of-ai-driven-cloud-attacks"/>
    <hyperlink ref="D48" r:id="rId61" display="How one hacker used AI agents and a few thousand dollars to break into scores of sites"/>
    <hyperlink ref="I48" r:id="rId62" display="https://www.securityweek.com/ai-platform-cairn-abused-to-hack-over-100-organizations/"/>
    <hyperlink ref="D49" r:id="rId63" display="Inside Cairn: Open Windows into massive AI-Driven Cyber Operations"/>
    <hyperlink ref="I49" r:id="rId64" display="https://www.securityweek.com/ai-platform-cairn-abused-to-hack-over-100-organizations/"/>
    <hyperlink ref="D50" r:id="rId65" display="OpenAI models hacked a crypto wallet and breached more websites"/>
    <hyperlink ref="I50" r:id="rId66" display="https://openai.com/index/hugging-face-model-evaluation-security-incident/"/>
    <hyperlink ref="D51" r:id="rId67" display="TAG-217 Targets South Korean Financial Services with ARTEX"/>
    <hyperlink ref="I51" r:id="rId68" display="https://www.crowdstrike.com/en-us/blog/unknown-threat-actor-uses-artex-to-target-south-korean-finance/"/>
    <hyperlink ref="D52" r:id="rId69" display="AI-Powered Espionage Campaign Targets Government Linux Infrastructure"/>
    <hyperlink ref="I52" r:id="rId70" display="https://unit42.paloaltonetworks.com/ai-campaign-targets-linux-infrastructure/"/>
    <hyperlink ref="D53" r:id="rId71" display="Threat Actor Abuses Agentic AI Pentesting Framework to Target South Korean Financial Institutions"/>
    <hyperlink ref="I53" r:id="rId72" display="https://www.crowdstrike.com/en-us/blog/unknown-threat-actor-uses-artex-to-target-south-korean-finance/"/>
    <hyperlink ref="D54" r:id="rId73" display="What Cybersecurity Leaders Must Prioritize in 2027"/>
    <hyperlink ref="D55" r:id="rId74" display="SentinelOne cuts malware analysis from weeks to hours"/>
    <hyperlink ref="D56" r:id="rId75" display="ClickFix to BEC in 24 Hours: Tragic Quadrant | Huntress"/>
    <hyperlink ref="D57" r:id="rId76" display="ASOS Confirms Data Breach Linked to Stolen Employee Credentials"/>
    <hyperlink ref="D58" r:id="rId77" display="Chinese Hacker Deployed AI in Campaign Against South Korean Banks"/>
    <hyperlink ref="I58" r:id="rId78" display="https://www.crowdstrike.com/en-us/blog/unknown-threat-actor-uses-artex-to-target-south-korean-finance/"/>
    <hyperlink ref="D59" r:id="rId79" display="UAT-11985: AI-assisted event lures delivering real-time Google AitM phishing"/>
    <hyperlink ref="I59" r:id="rId80" display="https://blog.talosintelligence.com/uat-11985/"/>
    <hyperlink ref="D60" r:id="rId81" display="AI agent exploits Zammad zero-days in DIVD breach: What we know and how to detect it"/>
    <hyperlink ref="I60" r:id="rId82" display="https://www.securityweek.com/zammad-zero-days-exploited-in-ai-powered-divd-hack/"/>
    <hyperlink ref="D61" r:id="rId83" display="Two Zero-Days Exploited in Attack on Dutch Institute for Vulnerability Disclosure"/>
    <hyperlink ref="I61" r:id="rId84" display="https://www.securityweek.com/zammad-zero-days-exploited-in-ai-powered-divd-hack/"/>
    <hyperlink ref="D62" r:id="rId85" display="With AI agents, runtime is the only place truth lives"/>
    <hyperlink ref="D63" r:id="rId86" display="Attackers Combine ChatGPT Feature Abuse With ClickFix to Deliver Trojan Malware"/>
    <hyperlink ref="D64" r:id="rId87" display="Disrupting a coordinated model-distillation campaign"/>
    <hyperlink ref="D65" r:id="rId88" display="Attackers Abuse ChatGPT Custom GPTs to Deliver RAT via ClickFix"/>
    <hyperlink ref="D66" r:id="rId89" display="Quarantined isn't contained: Agentic phishing response with Elastic and Sublim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0"/>
  <legacyDrawing r:id="rId9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10"/>
  </cols>
  <sheetData>
    <row r="1" customFormat="false" ht="15" hidden="false" customHeight="false" outlineLevel="0" collapsed="false">
      <c r="A1" s="3" t="s">
        <v>18</v>
      </c>
      <c r="B1" s="3" t="s">
        <v>328</v>
      </c>
    </row>
    <row r="2" customFormat="false" ht="15" hidden="false" customHeight="false" outlineLevel="0" collapsed="false">
      <c r="A2" s="12" t="n">
        <v>0</v>
      </c>
      <c r="B2" s="12" t="s">
        <v>329</v>
      </c>
    </row>
    <row r="3" customFormat="false" ht="15" hidden="false" customHeight="false" outlineLevel="0" collapsed="false">
      <c r="A3" s="12" t="n">
        <v>1</v>
      </c>
      <c r="B3" s="12" t="s">
        <v>330</v>
      </c>
    </row>
    <row r="4" customFormat="false" ht="15" hidden="false" customHeight="false" outlineLevel="0" collapsed="false">
      <c r="A4" s="12" t="n">
        <v>2</v>
      </c>
      <c r="B4" s="12" t="s">
        <v>331</v>
      </c>
    </row>
    <row r="5" customFormat="false" ht="15" hidden="false" customHeight="false" outlineLevel="0" collapsed="false">
      <c r="A5" s="12" t="n">
        <v>3</v>
      </c>
      <c r="B5" s="12" t="s">
        <v>332</v>
      </c>
    </row>
    <row r="6" customFormat="false" ht="15" hidden="false" customHeight="false" outlineLevel="0" collapsed="false">
      <c r="A6" s="12" t="n">
        <v>4</v>
      </c>
      <c r="B6" s="12" t="s">
        <v>333</v>
      </c>
    </row>
    <row r="7" customFormat="false" ht="15" hidden="false" customHeight="false" outlineLevel="0" collapsed="false">
      <c r="A7" s="12" t="n">
        <v>5</v>
      </c>
      <c r="B7" s="12" t="s">
        <v>334</v>
      </c>
    </row>
    <row r="8" customFormat="false" ht="15" hidden="false" customHeight="false" outlineLevel="0" collapsed="false">
      <c r="A8" s="12" t="n">
        <v>6</v>
      </c>
      <c r="B8" s="12" t="s">
        <v>335</v>
      </c>
    </row>
    <row r="9" customFormat="false" ht="15" hidden="false" customHeight="false" outlineLevel="0" collapsed="false">
      <c r="A9" s="12" t="n">
        <v>7</v>
      </c>
      <c r="B9" s="12" t="s">
        <v>336</v>
      </c>
    </row>
    <row r="10" customFormat="false" ht="15" hidden="false" customHeight="false" outlineLevel="0" collapsed="false">
      <c r="A10" s="12" t="n">
        <v>8</v>
      </c>
      <c r="B10" s="12" t="s">
        <v>337</v>
      </c>
    </row>
    <row r="11" customFormat="false" ht="15" hidden="false" customHeight="false" outlineLevel="0" collapsed="false">
      <c r="A11" s="12" t="n">
        <v>9</v>
      </c>
      <c r="B11" s="12" t="s">
        <v>338</v>
      </c>
    </row>
    <row r="12" customFormat="false" ht="15" hidden="false" customHeight="false" outlineLevel="0" collapsed="false">
      <c r="A12" s="12" t="n">
        <v>10</v>
      </c>
      <c r="B12" s="12" t="s">
        <v>84</v>
      </c>
    </row>
    <row r="13" customFormat="false" ht="15" hidden="false" customHeight="false" outlineLevel="0" collapsed="false">
      <c r="A13" s="12" t="n">
        <v>11</v>
      </c>
      <c r="B13" s="12" t="s">
        <v>339</v>
      </c>
    </row>
    <row r="14" customFormat="false" ht="15" hidden="false" customHeight="false" outlineLevel="0" collapsed="false">
      <c r="A14" s="12" t="n">
        <v>12</v>
      </c>
      <c r="B14" s="12" t="s">
        <v>340</v>
      </c>
    </row>
    <row r="15" customFormat="false" ht="15" hidden="false" customHeight="false" outlineLevel="0" collapsed="false">
      <c r="A15" s="12" t="n">
        <v>13</v>
      </c>
      <c r="B15" s="12" t="s">
        <v>341</v>
      </c>
    </row>
    <row r="16" customFormat="false" ht="15" hidden="false" customHeight="false" outlineLevel="0" collapsed="false">
      <c r="A16" s="12" t="n">
        <v>14</v>
      </c>
      <c r="B16" s="12" t="s">
        <v>342</v>
      </c>
    </row>
    <row r="17" customFormat="false" ht="15" hidden="false" customHeight="false" outlineLevel="0" collapsed="false">
      <c r="A17" s="12" t="n">
        <v>15</v>
      </c>
      <c r="B17" s="12" t="s">
        <v>343</v>
      </c>
    </row>
    <row r="18" customFormat="false" ht="15" hidden="false" customHeight="false" outlineLevel="0" collapsed="false">
      <c r="A18" s="12" t="n">
        <v>16</v>
      </c>
      <c r="B18" s="12" t="s">
        <v>344</v>
      </c>
    </row>
    <row r="19" customFormat="false" ht="15" hidden="false" customHeight="false" outlineLevel="0" collapsed="false">
      <c r="A19" s="12" t="n">
        <v>17</v>
      </c>
      <c r="B19" s="12" t="s">
        <v>345</v>
      </c>
    </row>
    <row r="20" customFormat="false" ht="15" hidden="false" customHeight="false" outlineLevel="0" collapsed="false">
      <c r="A20" s="12" t="n">
        <v>18</v>
      </c>
      <c r="B20" s="12" t="s">
        <v>346</v>
      </c>
    </row>
    <row r="21" customFormat="false" ht="15" hidden="false" customHeight="false" outlineLevel="0" collapsed="false">
      <c r="A21" s="12" t="n">
        <v>19</v>
      </c>
      <c r="B21" s="12" t="s">
        <v>347</v>
      </c>
    </row>
    <row r="22" customFormat="false" ht="15" hidden="false" customHeight="false" outlineLevel="0" collapsed="false">
      <c r="A22" s="12" t="n">
        <v>20</v>
      </c>
      <c r="B22" s="12" t="s">
        <v>348</v>
      </c>
    </row>
    <row r="23" customFormat="false" ht="15" hidden="false" customHeight="false" outlineLevel="0" collapsed="false">
      <c r="A23" s="12" t="n">
        <v>21</v>
      </c>
      <c r="B23" s="12" t="s">
        <v>349</v>
      </c>
    </row>
    <row r="24" customFormat="false" ht="15" hidden="false" customHeight="false" outlineLevel="0" collapsed="false">
      <c r="A24" s="12" t="n">
        <v>22</v>
      </c>
      <c r="B24" s="12" t="s">
        <v>350</v>
      </c>
    </row>
    <row r="25" customFormat="false" ht="15" hidden="false" customHeight="false" outlineLevel="0" collapsed="false">
      <c r="A25" s="12" t="n">
        <v>23</v>
      </c>
      <c r="B25" s="12" t="s">
        <v>351</v>
      </c>
    </row>
    <row r="26" customFormat="false" ht="15" hidden="false" customHeight="false" outlineLevel="0" collapsed="false">
      <c r="A26" s="12" t="n">
        <v>24</v>
      </c>
      <c r="B26" s="12" t="s">
        <v>352</v>
      </c>
    </row>
    <row r="27" customFormat="false" ht="15" hidden="false" customHeight="false" outlineLevel="0" collapsed="false">
      <c r="A27" s="12" t="n">
        <v>25</v>
      </c>
      <c r="B27" s="12" t="s">
        <v>353</v>
      </c>
    </row>
    <row r="28" customFormat="false" ht="15" hidden="false" customHeight="false" outlineLevel="0" collapsed="false">
      <c r="A28" s="12" t="n">
        <v>26</v>
      </c>
      <c r="B28" s="12" t="s">
        <v>156</v>
      </c>
    </row>
    <row r="29" customFormat="false" ht="15" hidden="false" customHeight="false" outlineLevel="0" collapsed="false">
      <c r="A29" s="12" t="n">
        <v>27</v>
      </c>
      <c r="B29" s="12" t="s">
        <v>354</v>
      </c>
    </row>
    <row r="30" customFormat="false" ht="15" hidden="false" customHeight="false" outlineLevel="0" collapsed="false">
      <c r="A30" s="12" t="n">
        <v>28</v>
      </c>
      <c r="B30" s="12" t="s">
        <v>355</v>
      </c>
    </row>
    <row r="31" customFormat="false" ht="15" hidden="false" customHeight="false" outlineLevel="0" collapsed="false">
      <c r="A31" s="12" t="n">
        <v>29</v>
      </c>
      <c r="B31" s="12" t="s">
        <v>356</v>
      </c>
    </row>
    <row r="32" customFormat="false" ht="15" hidden="false" customHeight="false" outlineLevel="0" collapsed="false">
      <c r="A32" s="12" t="n">
        <v>30</v>
      </c>
      <c r="B32" s="12" t="s">
        <v>182</v>
      </c>
    </row>
    <row r="33" customFormat="false" ht="15" hidden="false" customHeight="false" outlineLevel="0" collapsed="false">
      <c r="A33" s="12" t="n">
        <v>31</v>
      </c>
      <c r="B33" s="12" t="s">
        <v>357</v>
      </c>
    </row>
    <row r="34" customFormat="false" ht="15" hidden="false" customHeight="false" outlineLevel="0" collapsed="false">
      <c r="A34" s="12" t="n">
        <v>32</v>
      </c>
      <c r="B34" s="12" t="s">
        <v>358</v>
      </c>
    </row>
    <row r="35" customFormat="false" ht="15" hidden="false" customHeight="false" outlineLevel="0" collapsed="false">
      <c r="A35" s="12" t="n">
        <v>33</v>
      </c>
      <c r="B35" s="12" t="s">
        <v>359</v>
      </c>
    </row>
    <row r="36" customFormat="false" ht="15" hidden="false" customHeight="false" outlineLevel="0" collapsed="false">
      <c r="A36" s="12" t="n">
        <v>34</v>
      </c>
      <c r="B36" s="12" t="s">
        <v>360</v>
      </c>
    </row>
    <row r="37" customFormat="false" ht="15" hidden="false" customHeight="false" outlineLevel="0" collapsed="false">
      <c r="A37" s="12" t="n">
        <v>35</v>
      </c>
      <c r="B37" s="12" t="s">
        <v>361</v>
      </c>
    </row>
    <row r="38" customFormat="false" ht="15" hidden="false" customHeight="false" outlineLevel="0" collapsed="false">
      <c r="A38" s="12" t="n">
        <v>36</v>
      </c>
      <c r="B38" s="12" t="s">
        <v>362</v>
      </c>
    </row>
    <row r="39" customFormat="false" ht="15" hidden="false" customHeight="false" outlineLevel="0" collapsed="false">
      <c r="A39" s="12" t="n">
        <v>37</v>
      </c>
      <c r="B39" s="12" t="s">
        <v>363</v>
      </c>
    </row>
    <row r="40" customFormat="false" ht="15" hidden="false" customHeight="false" outlineLevel="0" collapsed="false">
      <c r="A40" s="12" t="n">
        <v>38</v>
      </c>
      <c r="B40" s="12" t="s">
        <v>364</v>
      </c>
    </row>
    <row r="41" customFormat="false" ht="15" hidden="false" customHeight="false" outlineLevel="0" collapsed="false">
      <c r="A41" s="12" t="n">
        <v>39</v>
      </c>
      <c r="B41" s="12" t="s">
        <v>365</v>
      </c>
    </row>
    <row r="42" customFormat="false" ht="15" hidden="false" customHeight="false" outlineLevel="0" collapsed="false">
      <c r="A42" s="12" t="n">
        <v>40</v>
      </c>
      <c r="B42" s="12" t="s">
        <v>366</v>
      </c>
    </row>
    <row r="43" customFormat="false" ht="15" hidden="false" customHeight="false" outlineLevel="0" collapsed="false">
      <c r="A43" s="12" t="n">
        <v>41</v>
      </c>
      <c r="B43" s="12" t="s">
        <v>367</v>
      </c>
    </row>
    <row r="44" customFormat="false" ht="15" hidden="false" customHeight="false" outlineLevel="0" collapsed="false">
      <c r="A44" s="12" t="n">
        <v>42</v>
      </c>
      <c r="B44" s="12" t="s">
        <v>368</v>
      </c>
    </row>
    <row r="45" customFormat="false" ht="15" hidden="false" customHeight="false" outlineLevel="0" collapsed="false">
      <c r="A45" s="12" t="n">
        <v>43</v>
      </c>
      <c r="B45" s="12" t="s">
        <v>236</v>
      </c>
    </row>
    <row r="46" customFormat="false" ht="15" hidden="false" customHeight="false" outlineLevel="0" collapsed="false">
      <c r="A46" s="12" t="n">
        <v>44</v>
      </c>
      <c r="B46" s="12" t="s">
        <v>369</v>
      </c>
    </row>
    <row r="47" customFormat="false" ht="15" hidden="false" customHeight="false" outlineLevel="0" collapsed="false">
      <c r="A47" s="12" t="n">
        <v>45</v>
      </c>
      <c r="B47" s="12" t="s">
        <v>246</v>
      </c>
    </row>
    <row r="48" customFormat="false" ht="15" hidden="false" customHeight="false" outlineLevel="0" collapsed="false">
      <c r="A48" s="12" t="n">
        <v>46</v>
      </c>
      <c r="B48" s="12" t="s">
        <v>370</v>
      </c>
    </row>
    <row r="49" customFormat="false" ht="15" hidden="false" customHeight="false" outlineLevel="0" collapsed="false">
      <c r="A49" s="12" t="n">
        <v>47</v>
      </c>
      <c r="B49" s="12" t="s">
        <v>371</v>
      </c>
    </row>
    <row r="50" customFormat="false" ht="15" hidden="false" customHeight="false" outlineLevel="0" collapsed="false">
      <c r="A50" s="12" t="n">
        <v>48</v>
      </c>
      <c r="B50" s="12" t="s">
        <v>372</v>
      </c>
    </row>
    <row r="51" customFormat="false" ht="15" hidden="false" customHeight="false" outlineLevel="0" collapsed="false">
      <c r="A51" s="12" t="n">
        <v>49</v>
      </c>
      <c r="B51" s="12" t="s">
        <v>373</v>
      </c>
    </row>
    <row r="52" customFormat="false" ht="15" hidden="false" customHeight="false" outlineLevel="0" collapsed="false">
      <c r="A52" s="12" t="n">
        <v>50</v>
      </c>
      <c r="B52" s="12" t="s">
        <v>268</v>
      </c>
    </row>
    <row r="53" customFormat="false" ht="15" hidden="false" customHeight="false" outlineLevel="0" collapsed="false">
      <c r="A53" s="12" t="n">
        <v>51</v>
      </c>
      <c r="B53" s="12" t="s">
        <v>374</v>
      </c>
    </row>
    <row r="54" customFormat="false" ht="15" hidden="false" customHeight="false" outlineLevel="0" collapsed="false">
      <c r="A54" s="12" t="n">
        <v>52</v>
      </c>
      <c r="B54" s="12" t="s">
        <v>375</v>
      </c>
    </row>
    <row r="55" customFormat="false" ht="15" hidden="false" customHeight="false" outlineLevel="0" collapsed="false">
      <c r="A55" s="12" t="n">
        <v>53</v>
      </c>
      <c r="B55" s="12" t="s">
        <v>376</v>
      </c>
    </row>
    <row r="56" customFormat="false" ht="15" hidden="false" customHeight="false" outlineLevel="0" collapsed="false">
      <c r="A56" s="12" t="n">
        <v>54</v>
      </c>
      <c r="B56" s="12" t="s">
        <v>377</v>
      </c>
    </row>
    <row r="57" customFormat="false" ht="15" hidden="false" customHeight="false" outlineLevel="0" collapsed="false">
      <c r="A57" s="12" t="n">
        <v>55</v>
      </c>
      <c r="B57" s="12" t="s">
        <v>378</v>
      </c>
    </row>
    <row r="58" customFormat="false" ht="15" hidden="false" customHeight="false" outlineLevel="0" collapsed="false">
      <c r="A58" s="12" t="n">
        <v>56</v>
      </c>
      <c r="B58" s="12" t="s">
        <v>379</v>
      </c>
    </row>
    <row r="59" customFormat="false" ht="15" hidden="false" customHeight="false" outlineLevel="0" collapsed="false">
      <c r="A59" s="12" t="n">
        <v>57</v>
      </c>
      <c r="B59" s="12" t="s">
        <v>296</v>
      </c>
    </row>
    <row r="60" customFormat="false" ht="15" hidden="false" customHeight="false" outlineLevel="0" collapsed="false">
      <c r="A60" s="12" t="n">
        <v>58</v>
      </c>
      <c r="B60" s="12" t="s">
        <v>380</v>
      </c>
    </row>
    <row r="61" customFormat="false" ht="15" hidden="false" customHeight="false" outlineLevel="0" collapsed="false">
      <c r="A61" s="12" t="n">
        <v>59</v>
      </c>
      <c r="B61" s="12" t="s">
        <v>381</v>
      </c>
    </row>
    <row r="62" customFormat="false" ht="15" hidden="false" customHeight="false" outlineLevel="0" collapsed="false">
      <c r="A62" s="12" t="n">
        <v>60</v>
      </c>
      <c r="B62" s="12" t="s">
        <v>382</v>
      </c>
    </row>
    <row r="63" customFormat="false" ht="15" hidden="false" customHeight="false" outlineLevel="0" collapsed="false">
      <c r="A63" s="12" t="n">
        <v>61</v>
      </c>
      <c r="B63" s="12" t="s">
        <v>383</v>
      </c>
    </row>
    <row r="64" customFormat="false" ht="15" hidden="false" customHeight="false" outlineLevel="0" collapsed="false">
      <c r="A64" s="12" t="n">
        <v>62</v>
      </c>
      <c r="B64" s="12" t="s">
        <v>384</v>
      </c>
    </row>
    <row r="65" customFormat="false" ht="15" hidden="false" customHeight="false" outlineLevel="0" collapsed="false">
      <c r="A65" s="12" t="n">
        <v>63</v>
      </c>
      <c r="B65" s="12" t="s">
        <v>385</v>
      </c>
    </row>
    <row r="66" customFormat="false" ht="15" hidden="false" customHeight="false" outlineLevel="0" collapsed="false">
      <c r="A66" s="12" t="n">
        <v>64</v>
      </c>
      <c r="B66" s="12" t="s">
        <v>386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s>
  <sheetData>
    <row r="1" customFormat="false" ht="15" hidden="false" customHeight="false" outlineLevel="0" collapsed="false">
      <c r="A1" s="13" t="s">
        <v>7</v>
      </c>
      <c r="B1" s="13" t="s">
        <v>387</v>
      </c>
    </row>
    <row r="2" customFormat="false" ht="15" hidden="false" customHeight="false" outlineLevel="0" collapsed="false">
      <c r="A2" s="14" t="s">
        <v>82</v>
      </c>
      <c r="B2" s="14" t="n">
        <f aca="false">COUNTIF('Feed sweep'!$G$2:$G$66,A2)</f>
        <v>9</v>
      </c>
    </row>
    <row r="3" customFormat="false" ht="15" hidden="false" customHeight="false" outlineLevel="0" collapsed="false">
      <c r="A3" s="14" t="s">
        <v>170</v>
      </c>
      <c r="B3" s="14" t="n">
        <f aca="false">COUNTIF('Feed sweep'!$G$2:$G$66,A3)</f>
        <v>9</v>
      </c>
    </row>
    <row r="4" customFormat="false" ht="15" hidden="false" customHeight="false" outlineLevel="0" collapsed="false">
      <c r="A4" s="14" t="s">
        <v>210</v>
      </c>
      <c r="B4" s="14" t="n">
        <f aca="false">COUNTIF('Feed sweep'!$G$2:$G$66,A4)</f>
        <v>5</v>
      </c>
    </row>
    <row r="5" customFormat="false" ht="15" hidden="false" customHeight="false" outlineLevel="0" collapsed="false">
      <c r="A5" s="14" t="s">
        <v>52</v>
      </c>
      <c r="B5" s="14" t="n">
        <f aca="false">COUNTIF('Feed sweep'!$G$2:$G$66,A5)</f>
        <v>6</v>
      </c>
    </row>
    <row r="6" customFormat="false" ht="15" hidden="false" customHeight="false" outlineLevel="0" collapsed="false">
      <c r="A6" s="14" t="s">
        <v>27</v>
      </c>
      <c r="B6" s="14" t="n">
        <f aca="false">COUNTIF('Feed sweep'!$G$2:$G$66,A6)</f>
        <v>36</v>
      </c>
    </row>
    <row r="7" customFormat="false" ht="15" hidden="false" customHeight="false" outlineLevel="0" collapsed="false">
      <c r="A7" s="3" t="s">
        <v>388</v>
      </c>
      <c r="B7" s="3" t="n">
        <f aca="false">SUM(B2:B6)</f>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2026-10-31T15:38:17Z</dcterms:created>
  <dc:creator>openpyxl</dc:creator>
  <dc:description/>
  <dc:language>en-US</dc:language>
  <cp:lastModifiedBy/>
  <dcterms:modified xsi:type="dcterms:W3CDTF">2026-10-31T15:38:17Z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